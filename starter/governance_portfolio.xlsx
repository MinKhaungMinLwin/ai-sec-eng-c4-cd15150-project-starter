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D1_EU_AI_Act" sheetId="2" state="visible" r:id="rId2"/>
    <sheet name="02_D2_DFD_Compliance" sheetId="3" state="visible" r:id="rId3"/>
    <sheet name="03_D3_ATLAS" sheetId="4" state="visible" r:id="rId4"/>
    <sheet name="04_D4_Technical_Audit" sheetId="5" state="visible" r:id="rId5"/>
    <sheet name="05_D5_Risk_Register" sheetId="6" state="visible" r:id="rId6"/>
    <sheet name="06_D6_Model_Card" sheetId="7" state="visible" r:id="rId7"/>
    <sheet name="07_D7_KRI_Dashboard" sheetId="8" state="visible" r:id="rId8"/>
    <sheet name="08_D8_Launch_Decision" sheetId="9" state="visible" r:id="rId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2"/>
    </font>
    <font>
      <color rgb="00D5DBDB"/>
      <sz val="12"/>
    </font>
    <font>
      <b val="1"/>
      <color rgb="00FFFFFF"/>
      <sz val="10"/>
    </font>
    <font>
      <b val="1"/>
      <color rgb="001F4E79"/>
      <sz val="11"/>
    </font>
    <font>
      <b val="1"/>
      <sz val="11"/>
    </font>
    <font>
      <b val="1"/>
      <color rgb="00555555"/>
      <sz val="10"/>
    </font>
    <font>
      <b val="1"/>
      <color rgb="00FFFFFF"/>
      <sz val="14"/>
    </font>
    <font>
      <i val="1"/>
      <color rgb="006C757D"/>
      <sz val="10"/>
    </font>
    <font>
      <b val="1"/>
    </font>
  </fonts>
  <fills count="16">
    <fill>
      <patternFill/>
    </fill>
    <fill>
      <patternFill patternType="gray125"/>
    </fill>
    <fill>
      <patternFill patternType="solid">
        <fgColor rgb="001F4E79"/>
      </patternFill>
    </fill>
    <fill>
      <patternFill patternType="solid">
        <fgColor rgb="00E8F1F8"/>
      </patternFill>
    </fill>
    <fill>
      <patternFill patternType="solid">
        <fgColor rgb="00F8FBFD"/>
      </patternFill>
    </fill>
    <fill>
      <patternFill patternType="solid">
        <fgColor rgb="00D5DBDB"/>
      </patternFill>
    </fill>
    <fill>
      <patternFill patternType="solid">
        <fgColor rgb="000072B2"/>
      </patternFill>
    </fill>
    <fill>
      <patternFill patternType="solid">
        <fgColor rgb="00D55E00"/>
      </patternFill>
    </fill>
    <fill>
      <patternFill patternType="solid">
        <fgColor rgb="00785EF0"/>
      </patternFill>
    </fill>
    <fill>
      <patternFill patternType="solid">
        <fgColor rgb="00009E73"/>
      </patternFill>
    </fill>
    <fill>
      <patternFill patternType="solid">
        <fgColor rgb="00AE4500"/>
      </patternFill>
    </fill>
    <fill>
      <patternFill patternType="solid">
        <fgColor rgb="00B8528A"/>
      </patternFill>
    </fill>
    <fill>
      <patternFill patternType="solid">
        <fgColor rgb="0035506C"/>
      </patternFill>
    </fill>
    <fill>
      <patternFill patternType="solid">
        <fgColor rgb="006B3E26"/>
      </patternFill>
    </fill>
    <fill>
      <patternFill patternType="solid">
        <fgColor rgb="00FEF9E7"/>
      </patternFill>
    </fill>
    <fill>
      <patternFill patternType="solid">
        <fgColor rgb="00FFE9E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left" vertical="center" indent="2"/>
    </xf>
    <xf numFmtId="0" fontId="3" fillId="2" borderId="0" applyAlignment="1" pivotButton="0" quotePrefix="0" xfId="0">
      <alignment horizontal="left" vertical="center" indent="2"/>
    </xf>
    <xf numFmtId="0" fontId="4" fillId="3" borderId="1" applyAlignment="1" pivotButton="0" quotePrefix="0" xfId="0">
      <alignment vertical="center" indent="1"/>
    </xf>
    <xf numFmtId="0" fontId="0" fillId="0" borderId="4" pivotButton="0" quotePrefix="0" xfId="0"/>
    <xf numFmtId="0" fontId="0" fillId="0" borderId="5" pivotButton="0" quotePrefix="0" xfId="0"/>
    <xf numFmtId="0" fontId="0" fillId="4" borderId="1" applyAlignment="1" pivotButton="0" quotePrefix="0" xfId="0">
      <alignment vertical="top" wrapText="1"/>
    </xf>
    <xf numFmtId="0" fontId="5" fillId="5" borderId="0" applyAlignment="1" pivotButton="0" quotePrefix="0" xfId="0">
      <alignment vertical="center" indent="1"/>
    </xf>
    <xf numFmtId="0" fontId="3" fillId="2" borderId="1" applyAlignment="1" pivotButton="0" quotePrefix="0" xfId="0">
      <alignment horizontal="center" vertical="center" wrapText="1"/>
    </xf>
    <xf numFmtId="0" fontId="0" fillId="6" borderId="1" pivotButton="0" quotePrefix="0" xfId="0"/>
    <xf numFmtId="0" fontId="0" fillId="0" borderId="1" applyAlignment="1" pivotButton="0" quotePrefix="0" xfId="0">
      <alignment vertical="top" wrapText="1"/>
    </xf>
    <xf numFmtId="0" fontId="6" fillId="0" borderId="1" applyAlignment="1" pivotButton="0" quotePrefix="0" xfId="0">
      <alignment vertical="top" wrapText="1"/>
    </xf>
    <xf numFmtId="0" fontId="0" fillId="7" borderId="1" pivotButton="0" quotePrefix="0" xfId="0"/>
    <xf numFmtId="0" fontId="0" fillId="8" borderId="1" pivotButton="0" quotePrefix="0" xfId="0"/>
    <xf numFmtId="0" fontId="0" fillId="9" borderId="1" pivotButton="0" quotePrefix="0" xfId="0"/>
    <xf numFmtId="0" fontId="0" fillId="10" borderId="1" pivotButton="0" quotePrefix="0" xfId="0"/>
    <xf numFmtId="0" fontId="0" fillId="11" borderId="1" pivotButton="0" quotePrefix="0" xfId="0"/>
    <xf numFmtId="0" fontId="0" fillId="12" borderId="1" pivotButton="0" quotePrefix="0" xfId="0"/>
    <xf numFmtId="0" fontId="0" fillId="13" borderId="1" pivotButton="0" quotePrefix="0" xfId="0"/>
    <xf numFmtId="0" fontId="0" fillId="14" borderId="1" pivotButton="0" quotePrefix="0" xfId="0"/>
    <xf numFmtId="0" fontId="0" fillId="15" borderId="1" pivotButton="0" quotePrefix="0" xfId="0"/>
    <xf numFmtId="0" fontId="0" fillId="5" borderId="1" pivotButton="0" quotePrefix="0" xfId="0"/>
    <xf numFmtId="0" fontId="7" fillId="6" borderId="0" applyAlignment="1" pivotButton="0" quotePrefix="0" xfId="0">
      <alignment horizontal="left" vertical="center" indent="1"/>
    </xf>
    <xf numFmtId="0" fontId="8" fillId="0" borderId="1" applyAlignment="1" pivotButton="0" quotePrefix="0" xfId="0">
      <alignment vertical="top" wrapText="1"/>
    </xf>
    <xf numFmtId="0" fontId="3" fillId="6" borderId="1" applyAlignment="1" pivotButton="0" quotePrefix="0" xfId="0">
      <alignment horizontal="center" vertical="center" wrapText="1"/>
    </xf>
    <xf numFmtId="0" fontId="0" fillId="14" borderId="1" applyAlignment="1" pivotButton="0" quotePrefix="0" xfId="0">
      <alignment vertical="top" wrapText="1"/>
    </xf>
    <xf numFmtId="0" fontId="7" fillId="7" borderId="0" applyAlignment="1" pivotButton="0" quotePrefix="0" xfId="0">
      <alignment horizontal="left" vertical="center" indent="1"/>
    </xf>
    <xf numFmtId="0" fontId="3" fillId="7" borderId="1" applyAlignment="1" pivotButton="0" quotePrefix="0" xfId="0">
      <alignment horizontal="center" vertical="center" wrapText="1"/>
    </xf>
    <xf numFmtId="0" fontId="7" fillId="8" borderId="0" applyAlignment="1" pivotButton="0" quotePrefix="0" xfId="0">
      <alignment horizontal="left" vertical="center" indent="1"/>
    </xf>
    <xf numFmtId="0" fontId="3" fillId="8" borderId="1" applyAlignment="1" pivotButton="0" quotePrefix="0" xfId="0">
      <alignment horizontal="center" vertical="center" wrapText="1"/>
    </xf>
    <xf numFmtId="0" fontId="7" fillId="9" borderId="0" applyAlignment="1" pivotButton="0" quotePrefix="0" xfId="0">
      <alignment horizontal="left" vertical="center" indent="1"/>
    </xf>
    <xf numFmtId="0" fontId="3" fillId="9" borderId="1" applyAlignment="1" pivotButton="0" quotePrefix="0" xfId="0">
      <alignment horizontal="center" vertical="center" wrapText="1"/>
    </xf>
    <xf numFmtId="0" fontId="9" fillId="0" borderId="1" applyAlignment="1" pivotButton="0" quotePrefix="0" xfId="0">
      <alignment vertical="top" wrapText="1"/>
    </xf>
    <xf numFmtId="0" fontId="7" fillId="10" borderId="0" applyAlignment="1" pivotButton="0" quotePrefix="0" xfId="0">
      <alignment horizontal="left" vertical="center" indent="1"/>
    </xf>
    <xf numFmtId="0" fontId="3" fillId="10" borderId="1" applyAlignment="1" pivotButton="0" quotePrefix="0" xfId="0">
      <alignment horizontal="center" vertical="center" wrapText="1"/>
    </xf>
    <xf numFmtId="0" fontId="9" fillId="0" borderId="1" pivotButton="0" quotePrefix="0" xfId="0"/>
    <xf numFmtId="0" fontId="0" fillId="0" borderId="1" pivotButton="0" quotePrefix="0" xfId="0"/>
    <xf numFmtId="0" fontId="7" fillId="11" borderId="0" applyAlignment="1" pivotButton="0" quotePrefix="0" xfId="0">
      <alignment horizontal="left" vertical="center" indent="1"/>
    </xf>
    <xf numFmtId="0" fontId="8" fillId="0" borderId="0" pivotButton="0" quotePrefix="0" xfId="0"/>
    <xf numFmtId="0" fontId="7" fillId="12" borderId="0" applyAlignment="1" pivotButton="0" quotePrefix="0" xfId="0">
      <alignment horizontal="left" vertical="center" indent="1"/>
    </xf>
    <xf numFmtId="0" fontId="3" fillId="12" borderId="1" applyAlignment="1" pivotButton="0" quotePrefix="0" xfId="0">
      <alignment horizontal="center" vertical="center" wrapText="1"/>
    </xf>
    <xf numFmtId="0" fontId="7" fillId="13" borderId="0" applyAlignment="1" pivotButton="0" quotePrefix="0" xfId="0">
      <alignment horizontal="left" vertical="center" indent="1"/>
    </xf>
    <xf numFmtId="0" fontId="3" fillId="13" borderId="1" applyAlignment="1" pivotButton="0" quotePrefix="0" xfId="0">
      <alignment horizontal="center" vertical="center" wrapText="1"/>
    </xf>
    <xf numFmtId="0" fontId="0" fillId="15" borderId="1" applyAlignment="1" pivotButton="0" quotePrefix="0" xfId="0">
      <alignment vertical="top" wrapText="1"/>
    </xf>
    <xf numFmtId="0" fontId="0" fillId="0" borderId="0" applyAlignment="1" pivotButton="0" quotePrefix="0" xfId="0">
      <alignment vertical="top" wrapText="1"/>
    </xf>
    <xf numFmtId="0" fontId="5" fillId="5" borderId="0" pivotButton="0" quotePrefix="0" xfId="0"/>
    <xf numFmtId="0" fontId="3" fillId="1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6" customWidth="1" min="1" max="1"/>
    <col width="50" customWidth="1" min="2" max="2"/>
    <col width="18" customWidth="1" min="3" max="3"/>
    <col width="60" customWidth="1" min="4" max="4"/>
  </cols>
  <sheetData>
    <row r="1" ht="38" customHeight="1">
      <c r="A1" s="1" t="inlineStr">
        <is>
          <t>OPERATION HEALTHGUARD</t>
        </is>
      </c>
    </row>
    <row r="2" ht="18" customHeight="1">
      <c r="A2" s="2" t="inlineStr">
        <is>
          <t>AI Model Risk &amp; Compliance Assessment — Governance Portfolio</t>
        </is>
      </c>
    </row>
    <row r="3" ht="30" customHeight="1">
      <c r="A3" s="3" t="inlineStr">
        <is>
          <t>STUDENT WORKBOOK — fill in the 8 tabs and submit</t>
        </is>
      </c>
    </row>
    <row r="4" ht="12" customHeight="1"/>
    <row r="5" ht="26" customHeight="1">
      <c r="A5" s="4" t="inlineStr">
        <is>
          <t>YOUR ROLE   Chief AI Risk Officer at Klariova Health</t>
        </is>
      </c>
      <c r="B5" s="5" t="n"/>
      <c r="C5" s="5" t="n"/>
      <c r="D5" s="6" t="n"/>
    </row>
    <row r="6" ht="48" customHeight="1">
      <c r="A6" s="7" t="inlineStr">
        <is>
          <t>Pre-launch governance, risk, and compliance review of HealthGuard, an AI model that predicts patient diabetes risk. Your launch recommendation goes to the AI Review Board, the Chief Compliance Officer, and the CEO.</t>
        </is>
      </c>
      <c r="B6" s="5" t="n"/>
      <c r="C6" s="5" t="n"/>
      <c r="D6" s="6" t="n"/>
    </row>
    <row r="7" ht="10" customHeight="1"/>
    <row r="8" ht="22" customHeight="1">
      <c r="A8" s="8" t="inlineStr">
        <is>
          <t>Workbook Tabs</t>
        </is>
      </c>
    </row>
    <row r="9" ht="28" customHeight="1">
      <c r="A9" s="9" t="inlineStr"/>
      <c r="B9" s="9" t="inlineStr">
        <is>
          <t>Tab</t>
        </is>
      </c>
      <c r="C9" s="9" t="inlineStr">
        <is>
          <t>Source</t>
        </is>
      </c>
      <c r="D9" s="9" t="inlineStr">
        <is>
          <t>What you produce</t>
        </is>
      </c>
    </row>
    <row r="10" ht="28" customHeight="1">
      <c r="A10" s="10" t="inlineStr"/>
      <c r="B10" s="11" t="inlineStr">
        <is>
          <t>D1 EU AI Act Classification &amp; Gap Analysis</t>
        </is>
      </c>
      <c r="C10" s="12" t="inlineStr">
        <is>
          <t>[HAND]</t>
        </is>
      </c>
      <c r="D10" s="11" t="inlineStr">
        <is>
          <t>Risk-tier classification + ≥6 obligations gap analysis</t>
        </is>
      </c>
    </row>
    <row r="11" ht="28" customHeight="1">
      <c r="A11" s="13" t="inlineStr"/>
      <c r="B11" s="11" t="inlineStr">
        <is>
          <t>D2 Data Flow Compliance Map (GDPR / CPRA)</t>
        </is>
      </c>
      <c r="C11" s="12" t="inlineStr">
        <is>
          <t>[HAND]</t>
        </is>
      </c>
      <c r="D11" s="11" t="inlineStr">
        <is>
          <t>Annotate the pre-drawn DFD; build the obligation table</t>
        </is>
      </c>
    </row>
    <row r="12" ht="28" customHeight="1">
      <c r="A12" s="14" t="inlineStr"/>
      <c r="B12" s="11" t="inlineStr">
        <is>
          <t>D3 MITRE ATLAS Threat Model — 3 TTPs</t>
        </is>
      </c>
      <c r="C12" s="12" t="inlineStr">
        <is>
          <t>[HAND]</t>
        </is>
      </c>
      <c r="D12" s="11" t="inlineStr">
        <is>
          <t>3 well-analyzed TTPs with mitigations</t>
        </is>
      </c>
    </row>
    <row r="13" ht="28" customHeight="1">
      <c r="A13" s="15" t="inlineStr"/>
      <c r="B13" s="11" t="inlineStr">
        <is>
          <t>D4 Technical Audit Summary</t>
        </is>
      </c>
      <c r="C13" s="12" t="inlineStr">
        <is>
          <t>[CODE]</t>
        </is>
      </c>
      <c r="D13" s="11" t="inlineStr">
        <is>
          <t>Populated by audit_notebook.ipynb</t>
        </is>
      </c>
    </row>
    <row r="14" ht="28" customHeight="1">
      <c r="A14" s="16" t="inlineStr"/>
      <c r="B14" s="11" t="inlineStr">
        <is>
          <t>D5 NIST AI RMF Risk Register</t>
        </is>
      </c>
      <c r="C14" s="12" t="inlineStr">
        <is>
          <t>[HAND + CODE]</t>
        </is>
      </c>
      <c r="D14" s="11" t="inlineStr">
        <is>
          <t>Notebook seeds 3-4 rows; you add the rest (target ≥10)</t>
        </is>
      </c>
    </row>
    <row r="15" ht="28" customHeight="1">
      <c r="A15" s="17" t="inlineStr"/>
      <c r="B15" s="11" t="inlineStr">
        <is>
          <t>D6 Model Card (7 sections)</t>
        </is>
      </c>
      <c r="C15" s="12" t="inlineStr">
        <is>
          <t>[HAND + CODE]</t>
        </is>
      </c>
      <c r="D15" s="11" t="inlineStr">
        <is>
          <t>Notebook fills Performance + Subgroup; you write the rest</t>
        </is>
      </c>
    </row>
    <row r="16" ht="28" customHeight="1">
      <c r="A16" s="18" t="inlineStr"/>
      <c r="B16" s="11" t="inlineStr">
        <is>
          <t>D7 KRI Dashboard</t>
        </is>
      </c>
      <c r="C16" s="12" t="inlineStr">
        <is>
          <t>[CODE]</t>
        </is>
      </c>
      <c r="D16" s="11" t="inlineStr">
        <is>
          <t>Notebook calls your kri.py to populate Status</t>
        </is>
      </c>
    </row>
    <row r="17" ht="28" customHeight="1">
      <c r="A17" s="19" t="inlineStr"/>
      <c r="B17" s="11" t="inlineStr">
        <is>
          <t>D8 Launch Decision &amp; Executive Brief</t>
        </is>
      </c>
      <c r="C17" s="12" t="inlineStr">
        <is>
          <t>[HAND]</t>
        </is>
      </c>
      <c r="D17" s="11" t="inlineStr">
        <is>
          <t>1-page exec brief + detailed justification + RACI</t>
        </is>
      </c>
    </row>
    <row r="18" ht="12" customHeight="1"/>
    <row r="19" ht="22" customHeight="1">
      <c r="A19" s="8" t="inlineStr">
        <is>
          <t>Visual Key  (colorblind-safe — Wong palette)</t>
        </is>
      </c>
    </row>
    <row r="20" ht="30" customHeight="1">
      <c r="A20" s="20" t="inlineStr"/>
      <c r="B20" s="11" t="inlineStr">
        <is>
          <t>YELLOW = your input. Each yellow cell holds a [bracketed hint] — replace it with your answer. All other body cells (white) are reference material; do not edit.</t>
        </is>
      </c>
      <c r="C20" s="5" t="n"/>
      <c r="D20" s="6" t="n"/>
    </row>
    <row r="21" ht="30" customHeight="1">
      <c r="A21" s="21" t="inlineStr"/>
      <c r="B21" s="11" t="inlineStr">
        <is>
          <t>SOFT ORANGE = top-N enterprise-priority risk in the Risk Register (D5).</t>
        </is>
      </c>
      <c r="C21" s="5" t="n"/>
      <c r="D21" s="6" t="n"/>
    </row>
    <row r="22" ht="30" customHeight="1">
      <c r="A22" s="22" t="inlineStr"/>
      <c r="B22" s="11" t="inlineStr">
        <is>
          <t>DARK GRAY = section divider bar within a tab.</t>
        </is>
      </c>
      <c r="C22" s="5" t="n"/>
      <c r="D22" s="6" t="n"/>
    </row>
    <row r="23" ht="12" customHeight="1"/>
    <row r="24" ht="22" customHeight="1">
      <c r="A24" s="8" t="inlineStr">
        <is>
          <t>Submission</t>
        </is>
      </c>
    </row>
    <row r="25" ht="80" customHeight="1">
      <c r="A25" s="7" t="inlineStr">
        <is>
          <t>Submit three artifacts:
    1. This populated workbook (governance_portfolio.xlsx) — all 8 tabs filled in.
    2. Your completed audit_notebook.ipynb — runs end-to-end without error.
    3. Your lab/ folder — all four modules implemented; all 34 unit tests pass.</t>
        </is>
      </c>
      <c r="B25" s="5" t="n"/>
      <c r="C25" s="5" t="n"/>
      <c r="D25" s="6" t="n"/>
    </row>
  </sheetData>
  <mergeCells count="12">
    <mergeCell ref="A1:D1"/>
    <mergeCell ref="A5:D5"/>
    <mergeCell ref="A8:D8"/>
    <mergeCell ref="A6:D6"/>
    <mergeCell ref="B22:D22"/>
    <mergeCell ref="A3:D3"/>
    <mergeCell ref="A25:D25"/>
    <mergeCell ref="B21:D21"/>
    <mergeCell ref="A2:D2"/>
    <mergeCell ref="A19:D19"/>
    <mergeCell ref="A24:D24"/>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26" customWidth="1" min="2" max="2"/>
    <col width="38" customWidth="1" min="3" max="3"/>
    <col width="16" customWidth="1" min="4" max="4"/>
    <col width="12" customWidth="1" min="5" max="5"/>
    <col width="50" customWidth="1" min="6" max="6"/>
  </cols>
  <sheetData>
    <row r="1" ht="32" customHeight="1">
      <c r="A1" s="23" t="inlineStr">
        <is>
          <t>D1 — EU AI Act Classification &amp; Gap Analysis</t>
        </is>
      </c>
    </row>
    <row r="2" ht="24" customHeight="1">
      <c r="A2" s="24" t="inlineStr">
        <is>
          <t>Classify HealthGuard under the EU AI Act risk tiers, then perform a gap analysis against Articles 9-15. Yellow cells are your inputs.</t>
        </is>
      </c>
      <c r="B2" s="5" t="n"/>
      <c r="C2" s="5" t="n"/>
      <c r="D2" s="5" t="n"/>
      <c r="E2" s="5" t="n"/>
      <c r="F2" s="6" t="n"/>
    </row>
    <row r="4" ht="22" customHeight="1">
      <c r="A4" s="8" t="inlineStr">
        <is>
          <t>SECTION A: Risk Classification</t>
        </is>
      </c>
    </row>
    <row r="5" ht="28" customHeight="1">
      <c r="A5" s="25" t="inlineStr">
        <is>
          <t>Step</t>
        </is>
      </c>
      <c r="B5" s="25" t="inlineStr">
        <is>
          <t>Question</t>
        </is>
      </c>
      <c r="C5" s="25" t="inlineStr">
        <is>
          <t>Your Answer</t>
        </is>
      </c>
      <c r="D5" s="25" t="inlineStr">
        <is>
          <t>Evidence / Justification</t>
        </is>
      </c>
      <c r="E5" s="25" t="inlineStr">
        <is>
          <t>Article Reference</t>
        </is>
      </c>
      <c r="F5" s="25" t="inlineStr"/>
    </row>
    <row r="6" ht="409" customHeight="1">
      <c r="A6" s="11" t="inlineStr">
        <is>
          <t>1</t>
        </is>
      </c>
      <c r="B6" s="11" t="inlineStr">
        <is>
          <t>Does the system engage in any prohibited practices under Article 5?</t>
        </is>
      </c>
      <c r="C6" s="26" t="inlineStr">
        <is>
          <t>No</t>
        </is>
      </c>
      <c r="D6" s="26" t="inlineStr">
        <is>
          <t>None of the Art. 5(1) prohibited practices apply: no subliminal/manipulative techniques (5(1)(a)); no exploitation of age/disability/socio-economic vulnerability to distort behaviour (5(1)(b)) — insurance_type is an input, but the output informs care, it does not exploit the patient; no social scoring (5(1)(c)); no criminal-risk profiling (5(1)(d)); no facial-image scraping (5(1)(e)); no emotion recognition (5(1)(f)); no biometric categorisation (5(1)(g)); no real-time remote biometric ID (5(1)(h)). Contract terms (A1 §3) prohibit underwriting use, closing the 5(1)(c) drift path.</t>
        </is>
      </c>
      <c r="E6" s="11" t="inlineStr">
        <is>
          <t>Article 5</t>
        </is>
      </c>
    </row>
    <row r="7" ht="409" customHeight="1">
      <c r="A7" s="11" t="inlineStr">
        <is>
          <t>2</t>
        </is>
      </c>
      <c r="B7" s="11" t="inlineStr">
        <is>
          <t>Is the system a safety component under EU harmonisation legislation (Annex I)?</t>
        </is>
      </c>
      <c r="C7" s="26" t="inlineStr">
        <is>
          <t>Yes (likely)</t>
        </is>
      </c>
      <c r="D7" s="26" t="inlineStr">
        <is>
          <t>Annex I Section A point 11 lists Regulation (EU) 2017/745 (MDR). Under MDR Art. 2(1) and Annex VIII Rule 11, software intended to provide information used to take decisions for diagnostic or therapeutic purposes is a medical device of at least Class IIa. A diabetes-risk score that drives HbA1c testing and prevention-programme referral meets the MDCG 2019-11 qualification test despite the 'decision-support' label (A1 §3). MDR Class IIa requires notified-body conformity assessment, so both limbs of Art. 6(1)(a)-(b) are met. Action: obtain a formal MDR qualification opinion; marketing positioning alone does not avoid qualification.</t>
        </is>
      </c>
      <c r="E7" s="11" t="inlineStr">
        <is>
          <t>Article 6(1) + Annex I</t>
        </is>
      </c>
    </row>
    <row r="8" ht="409" customHeight="1">
      <c r="A8" s="11" t="inlineStr">
        <is>
          <t>3</t>
        </is>
      </c>
      <c r="B8" s="11" t="inlineStr">
        <is>
          <t>Does the system fall under any Annex III high-risk category?</t>
        </is>
      </c>
      <c r="C8" s="26" t="inlineStr">
        <is>
          <t>Borderline</t>
        </is>
      </c>
      <c r="D8" s="26" t="inlineStr">
        <is>
          <t>Annex III point 5(a) covers AI used by or on behalf of public authorities to evaluate eligibility for essential public assistance services, including healthcare services. The EU launch sites are public academic medical centres and the score gates referral to a diabetes-prevention programme, so 5(a) is arguable but not certain (HealthGuard informs clinical priority, not benefit eligibility). If it applies, the Art. 6(3) derogation is unavailable because the system profiles natural persons (Art. 6(3) final sub-paragraph) using health and socio-economic data.</t>
        </is>
      </c>
      <c r="E8" s="11" t="inlineStr">
        <is>
          <t>Annex III</t>
        </is>
      </c>
    </row>
    <row r="9" ht="409" customHeight="1">
      <c r="A9" s="11" t="inlineStr">
        <is>
          <t>4</t>
        </is>
      </c>
      <c r="B9" s="11" t="inlineStr">
        <is>
          <t>FINAL CLASSIFICATION</t>
        </is>
      </c>
      <c r="C9" s="26" t="inlineStr">
        <is>
          <t>Yes — HIGH-RISK</t>
        </is>
      </c>
      <c r="D9" s="26" t="inlineStr">
        <is>
          <t>HIGH-RISK. Primary basis Art. 6(1) + Annex I Section A point 11 (MDR 2017/745, Rule 11 Class IIa+); alternative basis Art. 6(2) + Annex III point 5(a). Art. 6(1) obligations apply from 2 Aug 2027 (Art. 113(c)) — the Q3 2027 EU launch lands on that date, so there is no grace period. Consequences: Chapter III Section 2 (Arts. 9-15); provider duties under Art. 16 — QMS (Art. 17), conformity assessment integrated with MDR (Art. 43(3)), CE marking (Art. 48), EU database registration (Art. 49); deployer duties under Art. 26 and FRIA (Art. 27) for public hospitals; post-market monitoring (Art. 72) and serious-incident reporting (Art. 73).</t>
        </is>
      </c>
      <c r="E9" s="11" t="inlineStr">
        <is>
          <t>Art. 6(1)(a)-(b) + Annex I §A pt 11; alt. Art. 6(2) + Annex III pt 5(a)</t>
        </is>
      </c>
    </row>
    <row r="12" ht="22" customHeight="1">
      <c r="A12" s="8" t="inlineStr">
        <is>
          <t>SECTION B: Compliance Gap Analysis (Articles 9-15)</t>
        </is>
      </c>
    </row>
    <row r="13" ht="28" customHeight="1">
      <c r="A13" s="25" t="inlineStr">
        <is>
          <t>Article</t>
        </is>
      </c>
      <c r="B13" s="25" t="inlineStr">
        <is>
          <t>Requirement</t>
        </is>
      </c>
      <c r="C13" s="25" t="inlineStr">
        <is>
          <t>Description</t>
        </is>
      </c>
      <c r="D13" s="25" t="inlineStr">
        <is>
          <t>Status</t>
        </is>
      </c>
      <c r="E13" s="25" t="inlineStr">
        <is>
          <t>Severity</t>
        </is>
      </c>
      <c r="F13" s="25" t="inlineStr">
        <is>
          <t>Evidence Needed / Remediation</t>
        </is>
      </c>
    </row>
    <row r="14" ht="111" customHeight="1">
      <c r="A14" s="11" t="inlineStr">
        <is>
          <t>Art. 9</t>
        </is>
      </c>
      <c r="B14" s="11" t="inlineStr">
        <is>
          <t>Risk Management System</t>
        </is>
      </c>
      <c r="C14" s="11" t="inlineStr">
        <is>
          <t>Continuous, iterative risk-management process across the AI lifecycle</t>
        </is>
      </c>
      <c r="D14" s="26" t="inlineStr">
        <is>
          <t>Partially Met</t>
        </is>
      </c>
      <c r="E14" s="26" t="inlineStr">
        <is>
          <t>High</t>
        </is>
      </c>
      <c r="F14" s="26" t="inlineStr">
        <is>
          <t>Evidence: this GRC review + D5 register exist, but no documented Art. 9(2) iterative RMS with residual-risk acceptance per Art. 9(5) and no testing against prior-defined metrics per Art. 9(8). Remediation: adopt ISO/IEC 23894 RMS procedure; record acceptance criteria (subgroup FNR gap ≤ 8 pp) and link D5 → D7 KRIs as the Art. 9(2)(c) post-market feedback loop.</t>
        </is>
      </c>
    </row>
    <row r="15" ht="156" customHeight="1">
      <c r="A15" s="11" t="inlineStr">
        <is>
          <t>Art. 10</t>
        </is>
      </c>
      <c r="B15" s="11" t="inlineStr">
        <is>
          <t>Data Governance</t>
        </is>
      </c>
      <c r="C15" s="11" t="inlineStr">
        <is>
          <t>Training, validation, and test sets must be relevant, representative, free of errors</t>
        </is>
      </c>
      <c r="D15" s="26" t="inlineStr">
        <is>
          <t>Not Met</t>
        </is>
      </c>
      <c r="E15" s="26" t="inlineStr">
        <is>
          <t>Critical</t>
        </is>
      </c>
      <c r="F15" s="26" t="inlineStr">
        <is>
          <t>Art. 10(2)(f)-(g) require examination of biases likely to affect health and appropriate mitigation; Art. 10(3) requires representativeness for the intended population. D4 audit shows Rural FNR far above Urban and a Rural×Medicaid amplification; synthetic Source 2 reproduces Source 1 under-diagnosis; IE+DE data does not represent US deployment. Remediation: bias-examination report, label-quality audit of under-diagnosed cohorts, US-representative validation set before US launch, documented data-gap mitigation (Art. 10(2)(h)).</t>
        </is>
      </c>
    </row>
    <row r="16" ht="126" customHeight="1">
      <c r="A16" s="11" t="inlineStr">
        <is>
          <t>Art. 10</t>
        </is>
      </c>
      <c r="B16" s="11" t="inlineStr">
        <is>
          <t>Special Category Data</t>
        </is>
      </c>
      <c r="C16" s="11" t="inlineStr">
        <is>
          <t>Appropriate safeguards for processing special-category (e.g., health) data</t>
        </is>
      </c>
      <c r="D16" s="26" t="inlineStr">
        <is>
          <t>Partially Met</t>
        </is>
      </c>
      <c r="E16" s="26" t="inlineStr">
        <is>
          <t>High</t>
        </is>
      </c>
      <c r="F16" s="26" t="inlineStr">
        <is>
          <t>Art. 10(5) permits special-category processing for bias detection only with strict safeguards (pseudonymisation, access controls, deletion after correction, Art. 30 RoPA entry). Source 1 has DPA opt-in, but there is no documented Art. 10(5)(a)-(f) safeguard set, nor GDPR Art. 9(2)(h)/(j) basis for the synthetic generator. Remediation: Art. 10(5) safeguard memo, DPIA addendum, deletion schedule for bias-audit datasets.</t>
        </is>
      </c>
    </row>
    <row r="17" ht="111" customHeight="1">
      <c r="A17" s="11" t="inlineStr">
        <is>
          <t>Art. 11</t>
        </is>
      </c>
      <c r="B17" s="11" t="inlineStr">
        <is>
          <t>Technical Documentation</t>
        </is>
      </c>
      <c r="C17" s="11" t="inlineStr">
        <is>
          <t>Draw up technical documentation per Annex IV before market placement</t>
        </is>
      </c>
      <c r="D17" s="26" t="inlineStr">
        <is>
          <t>Not Met</t>
        </is>
      </c>
      <c r="E17" s="26" t="inlineStr">
        <is>
          <t>High</t>
        </is>
      </c>
      <c r="F17" s="26" t="inlineStr">
        <is>
          <t>Art. 11(1) requires Annex IV technical documentation drawn up before placing on the market and kept up to date; Art. 18(1) 10-year retention. None exists. Gaps: Annex IV §2(d) data-sheet with provenance of synthetic Source 2; §2(g) validation incl. subgroup metrics; §3 human-oversight measures; §4 appropriateness of metrics; §9 post-market monitoring plan (Art. 72(3)). Remediation: compile Annex IV file from D4/D6 outputs + Model Registry manifest (sha256:7f3c…a82e); version-controlled per release.</t>
        </is>
      </c>
    </row>
    <row r="18" ht="126" customHeight="1">
      <c r="A18" s="11" t="inlineStr">
        <is>
          <t>Art. 12</t>
        </is>
      </c>
      <c r="B18" s="11" t="inlineStr">
        <is>
          <t>Record-Keeping</t>
        </is>
      </c>
      <c r="C18" s="11" t="inlineStr">
        <is>
          <t>Automatic logging of inference activity for post-market traceability</t>
        </is>
      </c>
      <c r="D18" s="26" t="inlineStr">
        <is>
          <t>Partially Met</t>
        </is>
      </c>
      <c r="E18" s="26" t="inlineStr">
        <is>
          <t>Medium</t>
        </is>
      </c>
      <c r="F18" s="26" t="inlineStr">
        <is>
          <t>Component 6 logs every request/response/override for 7 years (Art. 12(1), Art. 19 retention). Gap: Art. 12(2)(a) logging of situations that may present risk (e.g., out-of-distribution input flags) and tamper-evidence are not specified; 7-year retention of identifiable records needs GDPR Art. 5(1)(e) justification. Remediation: append-only WORM log store with hash-chaining, OOD flag field, pseudonymised identifiers after 12 months.</t>
        </is>
      </c>
    </row>
    <row r="19" ht="126" customHeight="1">
      <c r="A19" s="11" t="inlineStr">
        <is>
          <t>Art. 13</t>
        </is>
      </c>
      <c r="B19" s="11" t="inlineStr">
        <is>
          <t>Transparency to Users</t>
        </is>
      </c>
      <c r="C19" s="11" t="inlineStr">
        <is>
          <t>Sufficient transparency for the user (clinician) to interpret the output appropriately</t>
        </is>
      </c>
      <c r="D19" s="26" t="inlineStr">
        <is>
          <t>Not Met</t>
        </is>
      </c>
      <c r="E19" s="26" t="inlineStr">
        <is>
          <t>High</t>
        </is>
      </c>
      <c r="F19" s="26" t="inlineStr">
        <is>
          <t>Art. 13(3)(b)(ii)-(v) require instructions for use stating accuracy levels, known circumstances affecting performance and performance for specific groups of persons. Dashboard shows only a rough feature list; no IFU, no subgroup FNR disclosure, no warning that rural/Medicaid patients are under-flagged. Remediation: publish IFU with D6 model card §4-§5, subgroup performance and an explicit 'insurance_type is not a clinical risk factor' caution.</t>
        </is>
      </c>
    </row>
    <row r="20" ht="111" customHeight="1">
      <c r="A20" s="11" t="inlineStr">
        <is>
          <t>Art. 14</t>
        </is>
      </c>
      <c r="B20" s="11" t="inlineStr">
        <is>
          <t>Human Oversight</t>
        </is>
      </c>
      <c r="C20" s="11" t="inlineStr">
        <is>
          <t>Designed to allow effective human oversight during use</t>
        </is>
      </c>
      <c r="D20" s="26" t="inlineStr">
        <is>
          <t>Partially Met</t>
        </is>
      </c>
      <c r="E20" s="26" t="inlineStr">
        <is>
          <t>High</t>
        </is>
      </c>
      <c r="F20" s="26" t="inlineStr">
        <is>
          <t>HITL sign-off exists in Component 4 (Art. 14(1)). Gaps: Art. 14(4)(b) automation-bias awareness and 14(4)(c) correct interpretation are unsupported — clinicians are not told which subgroups the model under-flags, so they cannot compensate. Remediation: clinician training module, subgroup caution banner, deployer oversight-assignment per Art. 26(2).</t>
        </is>
      </c>
    </row>
    <row r="21" ht="111" customHeight="1">
      <c r="A21" s="11" t="inlineStr">
        <is>
          <t>Art. 14</t>
        </is>
      </c>
      <c r="B21" s="11" t="inlineStr">
        <is>
          <t>Override Capability</t>
        </is>
      </c>
      <c r="C21" s="11" t="inlineStr">
        <is>
          <t>Enable the deployer to override or reverse the AI output</t>
        </is>
      </c>
      <c r="D21" s="26" t="inlineStr">
        <is>
          <t>Partially Met</t>
        </is>
      </c>
      <c r="E21" s="26" t="inlineStr">
        <is>
          <t>Medium</t>
        </is>
      </c>
      <c r="F21" s="26" t="inlineStr">
        <is>
          <t>Clinicians can disagree (Art. 14(4)(d) disregard/override). Gap: override reasons are free-text and flow unreviewed into retraining (D3 poisoning vector), and there is no Art. 14(4)(e) 'stop' control to suspend the model per site. Remediation: structured reason codes (KRI-2), override quarantine before retraining, per-hospital kill-switch feature flag.</t>
        </is>
      </c>
    </row>
    <row r="22" ht="141" customHeight="1">
      <c r="A22" s="11" t="inlineStr">
        <is>
          <t>Art. 15</t>
        </is>
      </c>
      <c r="B22" s="11" t="inlineStr">
        <is>
          <t>Accuracy</t>
        </is>
      </c>
      <c r="C22" s="11" t="inlineStr">
        <is>
          <t>Achieve an appropriate level of accuracy for the intended purpose</t>
        </is>
      </c>
      <c r="D22" s="26" t="inlineStr">
        <is>
          <t>Not Met</t>
        </is>
      </c>
      <c r="E22" s="26" t="inlineStr">
        <is>
          <t>Critical</t>
        </is>
      </c>
      <c r="F22" s="26" t="inlineStr">
        <is>
          <t>Overall AUC 0.812 / recall 0.744 (FNR 25.6%) are reported, but Art. 15(1)-(3) require an appropriate, declared accuracy level. Rural×Medicaid FNR is 60.6% vs 24.5% for Urban×Private (D4) — materially worse than standard of care for an identifiable subgroup. Remediation: retrain without insurance_type/region + label-bias correction, per-subgroup threshold review, declare overall + subgroup accuracy bounds in the IFU (Art. 15(3)), independent external validation before release.</t>
        </is>
      </c>
    </row>
    <row r="23" ht="111" customHeight="1">
      <c r="A23" s="11" t="inlineStr">
        <is>
          <t>Art. 15</t>
        </is>
      </c>
      <c r="B23" s="11" t="inlineStr">
        <is>
          <t>Robustness</t>
        </is>
      </c>
      <c r="C23" s="11" t="inlineStr">
        <is>
          <t>Resilient to errors, faults, inconsistencies, and adversarial inputs</t>
        </is>
      </c>
      <c r="D23" s="26" t="inlineStr">
        <is>
          <t>Partially Met</t>
        </is>
      </c>
      <c r="E23" s="26" t="inlineStr">
        <is>
          <t>High</t>
        </is>
      </c>
      <c r="F23" s="26" t="inlineStr">
        <is>
          <t>Art. 15(4) requires resilience to errors/inconsistencies and mitigation of feedback loops in systems that keep learning. Gaps: insurance_type billing-lag errors propagate unvalidated; override-driven retraining creates a biased feedback loop. Remediation: input validation + billing-freshness check, drift monitoring (PSI), retraining gate requiring D4 fairness re-audit.</t>
        </is>
      </c>
    </row>
    <row r="24" ht="126" customHeight="1">
      <c r="A24" s="11" t="inlineStr">
        <is>
          <t>Art. 15</t>
        </is>
      </c>
      <c r="B24" s="11" t="inlineStr">
        <is>
          <t>Cybersecurity</t>
        </is>
      </c>
      <c r="C24" s="11" t="inlineStr">
        <is>
          <t>Cybersecurity measures appropriate to the risk level</t>
        </is>
      </c>
      <c r="D24" s="26" t="inlineStr">
        <is>
          <t>Partially Met</t>
        </is>
      </c>
      <c r="E24" s="26" t="inlineStr">
        <is>
          <t>High</t>
        </is>
      </c>
      <c r="F24" s="26" t="inlineStr">
        <is>
          <t>mTLS at ingest and 200 rpm rate-limit exist. Art. 15(5) requires measures against data poisoning, model poisoning, adversarial examples and confidentiality attacks. Gaps: unsigned joblib (pickle) artifacts in Registry, no membership-inference testing, no override-poisoning control (D3 AML.T0020, AML.T0010.003, AML.T0024.000). Remediation: Sigstore-signed artifacts + hash check at load, ModelScan in CI, privacy red-team before launch.</t>
        </is>
      </c>
    </row>
    <row r="26" ht="22" customHeight="1">
      <c r="A26" s="8" t="inlineStr">
        <is>
          <t>SECTION C: Summary of Key Gaps</t>
        </is>
      </c>
    </row>
    <row r="27" ht="156" customHeight="1">
      <c r="A27" s="26" t="inlineStr">
        <is>
          <t>1) Art. 10(2)(f)-(g) + Art. 15(1) — subgroup accuracy/bias (Critical). D4 shows a statistically powered Rural×Medicaid FNR far above the urban baseline and a proxy pathway through insurance_type. The risk-appetite statement (Low appetite for patient-safety risk) forbids deploying a system that misses diagnoses for an identifiable subgroup 'at a rate materially worse than standard of care'. To clear: mitigation (remove/neutralise insurance_type, per-subgroup threshold) that brings the intersectional FNR gap ≤ 8 pp on a held-out set, confirmed by independent validation.
2) Art. 11 + Annex IV / Art. 13 — no technical documentation and no instructions for use disclosing subgroup performance (High). Regulatory appetite is Low: we may deploy with partial compliance only with a remediation plan and approved compensating control; missing Annex IV means no Art. 43 conformity assessment and no CE mark, which is a hard blocker for EU market placement. To clear: Annex IV file + IFU signed off by CCO, and MDR qualification opinion obtained.
3) Art. 15(4)-(5) — feedback-loop and artifact-integrity security (High). Unreviewed overrides feeding retraining and unsigned pickle artifacts let an attacker or a biased process silently degrade the model. Low reputational appetite (regulator-reportable incident). To clear: override quarantine + structured reason codes live, artifact signing enforced at load.</t>
        </is>
      </c>
      <c r="B27" s="5" t="n"/>
      <c r="C27" s="5" t="n"/>
      <c r="D27" s="5" t="n"/>
      <c r="E27" s="5" t="n"/>
      <c r="F27" s="6" t="n"/>
    </row>
  </sheetData>
  <mergeCells count="6">
    <mergeCell ref="A2:F2"/>
    <mergeCell ref="A1:F1"/>
    <mergeCell ref="A27:F27"/>
    <mergeCell ref="A12:F12"/>
    <mergeCell ref="A4:F4"/>
    <mergeCell ref="A26:F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6" customWidth="1" min="1" max="1"/>
    <col width="26" customWidth="1" min="2" max="2"/>
    <col width="26" customWidth="1" min="3" max="3"/>
    <col width="32" customWidth="1" min="4" max="4"/>
    <col width="28" customWidth="1" min="5" max="5"/>
    <col width="12" customWidth="1" min="6" max="6"/>
    <col width="36" customWidth="1" min="7" max="7"/>
  </cols>
  <sheetData>
    <row r="1" ht="32" customHeight="1">
      <c r="A1" s="27" t="inlineStr">
        <is>
          <t>D2 — Data Flow Compliance Map (GDPR / CPRA)</t>
        </is>
      </c>
    </row>
    <row r="2" ht="24" customHeight="1">
      <c r="A2" s="24" t="inlineStr">
        <is>
          <t>Annotate the pre-drawn Data Flow Diagram (data/data_flow_diagram.png) with compliance obligations at each stage. Yellow cells are your inputs.</t>
        </is>
      </c>
      <c r="B2" s="5" t="n"/>
      <c r="C2" s="5" t="n"/>
      <c r="D2" s="5" t="n"/>
      <c r="E2" s="5" t="n"/>
      <c r="F2" s="5" t="n"/>
      <c r="G2" s="6" t="n"/>
    </row>
    <row r="4" ht="22" customHeight="1">
      <c r="A4" s="8" t="inlineStr">
        <is>
          <t>SECTION A: Per-Stage Compliance Obligation Map</t>
        </is>
      </c>
    </row>
    <row r="5" ht="28" customHeight="1">
      <c r="A5" s="28" t="inlineStr">
        <is>
          <t>Stage</t>
        </is>
      </c>
      <c r="B5" s="28" t="inlineStr">
        <is>
          <t>Component / Description</t>
        </is>
      </c>
      <c r="C5" s="28" t="inlineStr">
        <is>
          <t>Data Involved</t>
        </is>
      </c>
      <c r="D5" s="28" t="inlineStr">
        <is>
          <t>GDPR Obligation</t>
        </is>
      </c>
      <c r="E5" s="28" t="inlineStr">
        <is>
          <t>CPRA Obligation</t>
        </is>
      </c>
      <c r="F5" s="28" t="inlineStr">
        <is>
          <t>Status</t>
        </is>
      </c>
      <c r="G5" s="28" t="inlineStr">
        <is>
          <t>Notes</t>
        </is>
      </c>
    </row>
    <row r="6" ht="141" customHeight="1">
      <c r="A6" s="11" t="inlineStr">
        <is>
          <t>1</t>
        </is>
      </c>
      <c r="B6" s="11" t="inlineStr">
        <is>
          <t>Hospital EHR (origination)</t>
        </is>
      </c>
      <c r="C6" s="11" t="inlineStr">
        <is>
          <t>Identifiable patient records: demographics, clinical, insurance</t>
        </is>
      </c>
      <c r="D6" s="26" t="inlineStr">
        <is>
          <t>Art. 6(1)(c)/(e) lawful basis held by hospital (controller) + Art. 9(2)(h) health-care purpose for special-category data; Art. 13-14 transparency notice to patients must mention AI risk-scoring; Art. 28(3) DPA with Klariova as processor; Art. 35 DPIA (high-risk profiling).</t>
        </is>
      </c>
      <c r="E6" s="26" t="inlineStr">
        <is>
          <t>Cal. Civ. Code §1798.100(a)-(b) notice at collection; §1798.140(ae) health data is 'sensitive personal information'; §1798.146 HIPAA-covered PHI is exempt, but non-PHI (e.g., telemetry, de-identified sets) remains in scope; §1798.121 right to limit use of SPI.</t>
        </is>
      </c>
      <c r="F6" s="26" t="inlineStr">
        <is>
          <t>Gap</t>
        </is>
      </c>
      <c r="G6" s="26" t="inlineStr">
        <is>
          <t>Consent/notice is delegated to hospitals with no verification. Remediation: DPA schedule obliging hospitals to include AI-scoring language in Art. 13 notices; annual attestation; joint DPIA input.</t>
        </is>
      </c>
    </row>
    <row r="7" ht="96" customHeight="1">
      <c r="A7" s="11" t="inlineStr">
        <is>
          <t>2</t>
        </is>
      </c>
      <c r="B7" s="11" t="inlineStr">
        <is>
          <t>Component 1 — Data Ingestion</t>
        </is>
      </c>
      <c r="C7" s="11" t="inlineStr">
        <is>
          <t>Raw FHIR records in transit</t>
        </is>
      </c>
      <c r="D7" s="26" t="inlineStr">
        <is>
          <t>Art. 32(1)(a)-(b) encryption in transit and confidentiality (mTLS satisfies); Art. 5(1)(c) data minimisation — full FHIR records ingested though model uses a subset; Art. 28(3)(c) security obligations as processor.</t>
        </is>
      </c>
      <c r="E7" s="26" t="inlineStr">
        <is>
          <t>§1798.100(e) / §1798.81.5 reasonable security procedures; §1798.150 private right of action for breach of non-encrypted data (Kafka buffer at rest).</t>
        </is>
      </c>
      <c r="F7" s="26" t="inlineStr">
        <is>
          <t>Gap</t>
        </is>
      </c>
      <c r="G7" s="26" t="inlineStr">
        <is>
          <t>mTLS in transit is Met; Kafka topic encryption-at-rest and retention are undocumented and full records exceed model needs. Remediation: field-level allow-list at ingest, Kafka at-rest encryption (KMS), topic retention ≤ 24 h.</t>
        </is>
      </c>
    </row>
    <row r="8" ht="141" customHeight="1">
      <c r="A8" s="11" t="inlineStr">
        <is>
          <t>3</t>
        </is>
      </c>
      <c r="B8" s="11" t="inlineStr">
        <is>
          <t>Component 2 — Preprocessing</t>
        </is>
      </c>
      <c r="C8" s="11" t="inlineStr">
        <is>
          <t>Clinical + insurance + demographic features</t>
        </is>
      </c>
      <c r="D8" s="26" t="inlineStr">
        <is>
          <t>Art. 5(1)(d) accuracy — insurance_type from billing may be stale; Art. 22(1) + 22(4) profiling with special-category data (decision-support keeps a human in loop, but meaningful review must be shown); Art. 25(1) data protection by design; Art. 9(2)(h) for health + Art. 5(1)(b) purpose limitation for insurance data.</t>
        </is>
      </c>
      <c r="E8" s="26" t="inlineStr">
        <is>
          <t>§1798.100(c) use must be reasonably necessary and proportionate to the purpose; §1798.185(a)(16) automated decision-making regulations (CPPA ADMT rules) — pre-use notice and opt-out for significant health decisions.</t>
        </is>
      </c>
      <c r="F8" s="26" t="inlineStr">
        <is>
          <t>Gap</t>
        </is>
      </c>
      <c r="G8" s="26" t="inlineStr">
        <is>
          <t>insurance_type is not clinically necessary and is a proxy for socio-economic status (D4), failing Art. 5(1)(c)/(d) and §1798.100(c). Remediation: remove insurance_type from features or justify in DPIA; billing-freshness validation; ADMT pre-use notice.</t>
        </is>
      </c>
    </row>
    <row r="9" ht="111" customHeight="1">
      <c r="A9" s="11" t="inlineStr">
        <is>
          <t>4</t>
        </is>
      </c>
      <c r="B9" s="11" t="inlineStr">
        <is>
          <t>Component 3 — Inference API</t>
        </is>
      </c>
      <c r="C9" s="11" t="inlineStr">
        <is>
          <t>Feature vector, output probability, binary classification</t>
        </is>
      </c>
      <c r="D9" s="26" t="inlineStr">
        <is>
          <t>Art. 22(1) — score is not a solely automated decision while clinician review is meaningful; Art. 13(2)(f)/14(2)(g) meaningful information about the logic involved; Art. 35(3)(a) DPIA for systematic evaluation of personal aspects.</t>
        </is>
      </c>
      <c r="E9" s="26" t="inlineStr">
        <is>
          <t>§1798.185(a)(16) ADMT access right — patient may request information about the logic and outcome; §1798.110 right to know.</t>
        </is>
      </c>
      <c r="F9" s="26" t="inlineStr">
        <is>
          <t>Gap</t>
        </is>
      </c>
      <c r="G9" s="26" t="inlineStr">
        <is>
          <t>No logic-explanation available to patients and DPIA not yet completed. Remediation: complete Art. 35 DPIA before launch; patient-facing plain-language logic summary via hospital portal; ADMT request-handling SOP.</t>
        </is>
      </c>
    </row>
    <row r="10" ht="126" customHeight="1">
      <c r="A10" s="11" t="inlineStr">
        <is>
          <t>5</t>
        </is>
      </c>
      <c r="B10" s="11" t="inlineStr">
        <is>
          <t>Prediction database (storage)</t>
        </is>
      </c>
      <c r="C10" s="11" t="inlineStr">
        <is>
          <t>Predictions + patient identifiers, by region</t>
        </is>
      </c>
      <c r="D10" s="26" t="inlineStr">
        <is>
          <t>Art. 5(1)(e) storage limitation — 7-year retention of identifiable predictions must be justified (EU AI Act Art. 19/72 support it for logs, not for full identifiers); Art. 32 security; Art. 30 RoPA; Art. 17 erasure (restricted by Art. 17(3)(c) public-health).</t>
        </is>
      </c>
      <c r="E10" s="26" t="inlineStr">
        <is>
          <t>§1798.100(a)(3) disclose retention period; §1798.105 right to delete; §1798.81.5 reasonable security.</t>
        </is>
      </c>
      <c r="F10" s="26" t="inlineStr">
        <is>
          <t>Gap</t>
        </is>
      </c>
      <c r="G10" s="26" t="inlineStr">
        <is>
          <t>Retention of direct identifiers for 7 years is not minimised. Remediation: pseudonymise patient IDs after 12 months (keyed tokenisation, key held by hospital); retention schedule in RoPA; CPRA retention disclosure.</t>
        </is>
      </c>
    </row>
    <row r="11" ht="81" customHeight="1">
      <c r="A11" s="11" t="inlineStr">
        <is>
          <t>6</t>
        </is>
      </c>
      <c r="B11" s="11" t="inlineStr">
        <is>
          <t>Component 4 — Clinician Dashboard</t>
        </is>
      </c>
      <c r="C11" s="11" t="inlineStr">
        <is>
          <t>Prediction display + override capture</t>
        </is>
      </c>
      <c r="D11" s="26" t="inlineStr">
        <is>
          <t>Art. 22(3) right to obtain human intervention / contest — clinician override supports it; Art. 25 privacy by design; Art. 5(1)(f) integrity (override records feed retraining).</t>
        </is>
      </c>
      <c r="E11" s="26" t="inlineStr">
        <is>
          <t>§1798.185(a)(16) ADMT — human review must be available; §1798.106 right to correct inaccurate personal information (e.g., wrong insurance_type).</t>
        </is>
      </c>
      <c r="F11" s="26" t="inlineStr">
        <is>
          <t>Met</t>
        </is>
      </c>
      <c r="G11" s="26" t="inlineStr">
        <is>
          <t>HITL sign-off and override exist. Improvement: structured override reason codes and a visible 'correct my data' path for insurance/registration errors.</t>
        </is>
      </c>
    </row>
    <row r="12" ht="141" customHeight="1">
      <c r="A12" s="11" t="inlineStr">
        <is>
          <t>7</t>
        </is>
      </c>
      <c r="B12" s="11" t="inlineStr">
        <is>
          <t>Component 5 — Model Registry</t>
        </is>
      </c>
      <c r="C12" s="11" t="inlineStr">
        <is>
          <t>Model artifacts + training-data manifests</t>
        </is>
      </c>
      <c r="D12" s="26" t="inlineStr">
        <is>
          <t>Art. 5(1)(b) purpose limitation — reuse of training records for retraining requires compatibility test per Art. 6(4); Art. 89(1) safeguards for research/statistical use; Art. 30 RoPA; Recital 26 — 'anonymized' Source 1 must be truly anonymous or GDPR still applies; synthetic data may be re-identifiable.</t>
        </is>
      </c>
      <c r="E12" s="26" t="inlineStr">
        <is>
          <t>§1798.140(m) de-identified data requires public commitment + contractual no-re-identification; §1798.148 prohibits re-identification of de-identified patient information.</t>
        </is>
      </c>
      <c r="F12" s="26" t="inlineStr">
        <is>
          <t>Gap</t>
        </is>
      </c>
      <c r="G12" s="26" t="inlineStr">
        <is>
          <t>Registry stores every training set indefinitely; no re-identification risk assessment of Source 1 or the synthetic Source 2. Remediation: motivated-intruder test on both datasets, retention policy for superseded datasets, access logging.</t>
        </is>
      </c>
    </row>
    <row r="13" ht="156" customHeight="1">
      <c r="A13" s="11" t="inlineStr">
        <is>
          <t>8</t>
        </is>
      </c>
      <c r="B13" s="11" t="inlineStr">
        <is>
          <t>US → EU telemetry (cross-border)</t>
        </is>
      </c>
      <c r="C13" s="11" t="inlineStr">
        <is>
          <t>Request metadata for drift monitoring</t>
        </is>
      </c>
      <c r="D13" s="26" t="inlineStr">
        <is>
          <t>Chapter V — Art. 44 general principle; Art. 46(2)(c) Standard Contractual Clauses (Decision (EU) 2021/914); Art. 45 adequacy (EU-US Data Privacy Framework, Decision 2023/1795) applies only if the US recipient is DPF-certified; Art. 4(1) — request metadata with hospital/patient IDs or quasi-identifiers is personal data; Art. 3(2) scope.</t>
        </is>
      </c>
      <c r="E13" s="26" t="inlineStr">
        <is>
          <t>§1798.100(d) contract with third parties/service providers; §1798.140(ag) service-provider contract terms for Klariova EU entity; §1798.135 notice of 'sharing'.</t>
        </is>
      </c>
      <c r="F13" s="26" t="inlineStr">
        <is>
          <t>Gap</t>
        </is>
      </c>
      <c r="G13" s="26" t="inlineStr">
        <is>
          <t>No documented mechanism or RoPA entry for the telemetry flow. Remediation: classify telemetry; intra-group SCCs (Module 1 controller-to-controller or Module 3 processor-to-processor), TIA, RoPA update; strip patient IDs and hash request IDs before export.</t>
        </is>
      </c>
    </row>
    <row r="15" ht="22" customHeight="1">
      <c r="A15" s="8" t="inlineStr">
        <is>
          <t>SECTION B: Cross-Border Transfer Analysis (EU ↔ US)</t>
        </is>
      </c>
    </row>
    <row r="16" ht="330" customHeight="1">
      <c r="A16" s="26" t="inlineStr">
        <is>
          <t>MECHANISM: 2021 Standard Contractual Clauses (Commission Implementing Decision (EU) 2021/914, GDPR Art. 46(2)(c)) executed intra-group between Klariova Health Inc. (US) and Klariova Health Ltd (EU) — Module 1 (C2C) for drift telemetry Klariova uses for its own post-market monitoring, Module 3 (P2P) where it acts for hospitals. EU-US Data Privacy Framework adequacy (Art. 45, Decision (EU) 2023/1795) may be layered on only if Klariova Inc. self-certifies; BCRs (Art. 47) are disproportionate for two entities. TIA REQUIRED: YES — SCC Clause 14 and EDPB Recommendations 01/2020 require a documented TIA before relying on SCCs (see Section D template).
Why it is in scope: request metadata (hospital ID, request/patient IDs, timestamps, feature summaries) is personal data under Art. 4(1) — pseudonymous at best (Recital 26). Strictly, US→EU collection is an import (no Art. 3(2) targeting); GDPR applies to the Frankfurt processing via Art. 3(1), and every EU→US return (drift reports, US-staff remote access to Frankfurt) is a Chapter V transfer (Art. 44). We put SCCs on the whole bidirectional flow so one mechanism covers both legs. US side: HIPAA BAA (45 CFR §164.504(e)) covering the EU monitoring service; CPRA §1798.100(d) service-provider contract.
Supplementary measures: strip direct identifiers and keyed-hash (HMAC-SHA256, key held in US) request IDs before export; send aggregated drift statistics, not row-level vectors; AES-256 at rest in Frankfurt, TLS 1.3 in transit.
Art. 30 RoPA update: add the telemetry processing activity — purpose (Art. 72 post-market monitoring), data categories, recipients and third country (Art. 30(1)(d)-(e)), transfer safeguard = SCCs + TIA reference, retention (24 months for drift statistics), security measures (Art. 30(1)(g)); mirror in the processor record (Art. 30(2)(c)) and the DPIA.</t>
        </is>
      </c>
      <c r="B16" s="5" t="n"/>
      <c r="C16" s="5" t="n"/>
      <c r="D16" s="5" t="n"/>
      <c r="E16" s="5" t="n"/>
      <c r="F16" s="5" t="n"/>
      <c r="G16" s="6" t="n"/>
    </row>
    <row r="18" ht="22" customHeight="1">
      <c r="A18" s="8" t="inlineStr">
        <is>
          <t>SECTION C: Top 5 Compliance Risks (carry to D5)</t>
        </is>
      </c>
    </row>
    <row r="19" ht="81" customHeight="1">
      <c r="A19" s="26" t="inlineStr">
        <is>
          <t>1) Special-category profiling without a completed Art. 35 DPIA and with a non-necessary insurance_type feature (GDPR Art. 5(1)(c), 9(2)(h), 22(4); CPRA §1798.100(c)) — stage 3/4. → D5 RR-05
2) US↔EU telemetry has no documented transfer mechanism, TIA, or RoPA entry (GDPR Art. 30, 44-46; CPRA §1798.100(d); HIPAA BAA) — stage 8. → D5 RR-06
3) 7-year retention of directly identifiable predictions (GDPR Art. 5(1)(e); CPRA §1798.100(a)(3)) — stage 5. → D5 RR-07
4) Patient transparency delegated to hospitals with no verification; no logic explanation (GDPR Art. 13(2)(f), 14(2)(g); CPRA ADMT §1798.185(a)(16)) — stages 1/4. → D5 RR-08
5) Re-identification risk of 'anonymised' Source 1 and synthetic Source 2 retained indefinitely in the Model Registry (GDPR Recital 26, Art. 5(1)(b); CPRA §1798.148) — stage 7. → D5 RR-09</t>
        </is>
      </c>
      <c r="B19" s="5" t="n"/>
      <c r="C19" s="5" t="n"/>
      <c r="D19" s="5" t="n"/>
      <c r="E19" s="5" t="n"/>
      <c r="F19" s="5" t="n"/>
      <c r="G19" s="6" t="n"/>
    </row>
    <row r="21">
      <c r="A21" s="8" t="inlineStr">
        <is>
          <t>SECTION D: Transfer Impact Assessment (TIA) — template attached to the Art. 30 RoPA entry</t>
        </is>
      </c>
    </row>
    <row r="22">
      <c r="B22" s="28" t="inlineStr">
        <is>
          <t>TIA step / field</t>
        </is>
      </c>
      <c r="C22" s="28" t="inlineStr">
        <is>
          <t>Content for the HealthGuard telemetry flow</t>
        </is>
      </c>
      <c r="D22" s="5" t="n"/>
      <c r="E22" s="5" t="n"/>
      <c r="F22" s="5" t="n"/>
      <c r="G22" s="6" t="n"/>
    </row>
    <row r="23" ht="62" customHeight="1">
      <c r="B23" s="11" t="inlineStr">
        <is>
          <t>1. Transfer description</t>
        </is>
      </c>
      <c r="C23" s="26" t="inlineStr">
        <is>
          <t>Exporter: Klariova Health Ltd (Frankfurt) ↔ importer: Klariova Health Inc. (Boston/AWS US-East). Data: pseudonymised request metadata + aggregated drift statistics; data subjects: patients of 3 US IDNs (and EU patients when drift reports return). Frequency: continuous, batched hourly. RoPA ref: RoPA-HG-07.</t>
        </is>
      </c>
    </row>
    <row r="24" ht="62" customHeight="1">
      <c r="B24" s="11" t="inlineStr">
        <is>
          <t>2. Transfer tool</t>
        </is>
      </c>
      <c r="C24" s="26" t="inlineStr">
        <is>
          <t>2021 SCCs Module 1 / Module 3 (Art. 46(2)(c)); DPF self-certification status: [pending]; fallback if DPF invalidated: SCCs remain in force.</t>
        </is>
      </c>
    </row>
    <row r="25" ht="62" customHeight="1">
      <c r="B25" s="11" t="inlineStr">
        <is>
          <t>3. Third-country law assessment</t>
        </is>
      </c>
      <c r="C25" s="26" t="inlineStr">
        <is>
          <t>FISA §702 and EO 12333 — importer is a potential 'electronic communication service provider' via AWS; EO 14086 proportionality + Data Protection Review Court redress considered. Sources: EDPB Rec. 02/2020 (European Essential Guarantees), DPF adequacy decision recitals.</t>
        </is>
      </c>
    </row>
    <row r="26" ht="62" customHeight="1">
      <c r="B26" s="11" t="inlineStr">
        <is>
          <t>4. Practical experience</t>
        </is>
      </c>
      <c r="C26" s="26" t="inlineStr">
        <is>
          <t>Number of government access requests received by Klariova Inc. to date: 0; AWS transparency report reviewed (date). Re-check annually.</t>
        </is>
      </c>
    </row>
    <row r="27" ht="62" customHeight="1">
      <c r="B27" s="11" t="inlineStr">
        <is>
          <t>5. Supplementary measures</t>
        </is>
      </c>
      <c r="C27" s="26" t="inlineStr">
        <is>
          <t>Technical: identifier stripping, HMAC-SHA256 pseudonymisation with US-held key, aggregation (k ≥ 20 per cell), AES-256 at rest, TLS 1.3. Contractual: SCC Clause 15 challenge/notify obligations, transparency reporting. Organisational: access limited to ML Ops role, quarterly access review.</t>
        </is>
      </c>
    </row>
    <row r="28" ht="62" customHeight="1">
      <c r="B28" s="11" t="inlineStr">
        <is>
          <t>6. Residual risk conclusion</t>
        </is>
      </c>
      <c r="C28" s="26" t="inlineStr">
        <is>
          <t>Likelihood of problematic access: Low; impact on data subjects: Medium (health-related metadata). Conclusion: transfer may proceed with measures in step 5. Signed: DPO; date; next review: 12 months or on legal change.</t>
        </is>
      </c>
    </row>
    <row r="29" ht="62" customHeight="1">
      <c r="B29" s="11" t="inlineStr">
        <is>
          <t>7. Re-evaluation triggers</t>
        </is>
      </c>
      <c r="C29" s="26" t="inlineStr">
        <is>
          <t>New data fields in telemetry; DPF invalidation; change of hosting provider; any government access request; EDPB guidance update.</t>
        </is>
      </c>
    </row>
  </sheetData>
  <mergeCells count="16">
    <mergeCell ref="C29:G29"/>
    <mergeCell ref="A1:G1"/>
    <mergeCell ref="A18:G18"/>
    <mergeCell ref="C24:G24"/>
    <mergeCell ref="A21:G21"/>
    <mergeCell ref="A4:G4"/>
    <mergeCell ref="C25:G25"/>
    <mergeCell ref="C27:G27"/>
    <mergeCell ref="C28:G28"/>
    <mergeCell ref="A16:G16"/>
    <mergeCell ref="A2:G2"/>
    <mergeCell ref="A15:G15"/>
    <mergeCell ref="C23:G23"/>
    <mergeCell ref="C22:G22"/>
    <mergeCell ref="A19:G19"/>
    <mergeCell ref="C26:G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6" customWidth="1" min="1" max="1"/>
    <col width="12" customWidth="1" min="2" max="2"/>
    <col width="22" customWidth="1" min="3" max="3"/>
    <col width="26" customWidth="1" min="4" max="4"/>
    <col width="38" customWidth="1" min="5" max="5"/>
    <col width="38" customWidth="1" min="6" max="6"/>
    <col width="12" customWidth="1" min="7" max="7"/>
    <col width="10" customWidth="1" min="8" max="8"/>
  </cols>
  <sheetData>
    <row r="1" ht="32" customHeight="1">
      <c r="A1" s="29" t="inlineStr">
        <is>
          <t>D3 — MITRE ATLAS Threat Model (3 TTPs)</t>
        </is>
      </c>
    </row>
    <row r="2" ht="24" customHeight="1">
      <c r="A2" s="24" t="inlineStr">
        <is>
          <t>Identify the 3 most relevant ATLAS TTPs for HealthGuard. Depth over breadth — three well-analyzed techniques rather than a wide scan.</t>
        </is>
      </c>
      <c r="B2" s="5" t="n"/>
      <c r="C2" s="5" t="n"/>
      <c r="D2" s="5" t="n"/>
      <c r="E2" s="5" t="n"/>
      <c r="F2" s="5" t="n"/>
      <c r="G2" s="5" t="n"/>
      <c r="H2" s="6" t="n"/>
    </row>
    <row r="4" ht="22" customHeight="1">
      <c r="A4" s="8" t="inlineStr">
        <is>
          <t>SECTION A: Attack Surface Summary</t>
        </is>
      </c>
    </row>
    <row r="5" ht="111" customHeight="1">
      <c r="A5" s="26" t="inlineStr">
        <is>
          <t>C1 Data Ingestion Pipeline (FHIR R4, mTLS, Kafka): compromised hospital edge or stolen client cert can inject malicious records; Kafka topic is an unencrypted buffer of raw PHI.
C2 Preprocessing Layer: joins insurance_type from billing — a low-integrity upstream source an insider or billing error can manipulate; imputation logic can be gamed.
C3 Model Inference API (FastAPI + joblib): public-ish REST surface, 200 req/min/hospital allows ~288k queries/day — enough for membership-inference or model-extraction; joblib load = pickle deserialisation.
C4 Clinician Dashboard: web app (XSS/session hijack), HITL override channel writes labels that feed retraining.
C5 Model Registry: stores every artifact and every training set — high-value target for artifact tampering (supply chain) and bulk data exfiltration.
C6 Logging &amp; Monitoring: 7-year logs of inputs/outputs/overrides; cross-border telemetry path; log tampering would blind post-market monitoring (Art. 72).</t>
        </is>
      </c>
      <c r="B5" s="5" t="n"/>
      <c r="C5" s="5" t="n"/>
      <c r="D5" s="5" t="n"/>
      <c r="E5" s="5" t="n"/>
      <c r="F5" s="5" t="n"/>
      <c r="G5" s="5" t="n"/>
      <c r="H5" s="6" t="n"/>
    </row>
    <row r="7" ht="22" customHeight="1">
      <c r="A7" s="8" t="inlineStr">
        <is>
          <t>SECTION B: Threat Table — 3 TTPs</t>
        </is>
      </c>
    </row>
    <row r="8" ht="28" customHeight="1">
      <c r="A8" s="30" t="inlineStr">
        <is>
          <t>Rank</t>
        </is>
      </c>
      <c r="B8" s="30" t="inlineStr">
        <is>
          <t>ATLAS ID</t>
        </is>
      </c>
      <c r="C8" s="30" t="inlineStr">
        <is>
          <t>Technique Name</t>
        </is>
      </c>
      <c r="D8" s="30" t="inlineStr">
        <is>
          <t>Targeted Component</t>
        </is>
      </c>
      <c r="E8" s="30" t="inlineStr">
        <is>
          <t>Attack Scenario</t>
        </is>
      </c>
      <c r="F8" s="30" t="inlineStr">
        <is>
          <t>Proposed Mitigation</t>
        </is>
      </c>
      <c r="G8" s="30" t="inlineStr">
        <is>
          <t>Likelihood</t>
        </is>
      </c>
      <c r="H8" s="30" t="inlineStr">
        <is>
          <t>Impact</t>
        </is>
      </c>
    </row>
    <row r="9" ht="171" customHeight="1">
      <c r="A9" s="11" t="inlineStr">
        <is>
          <t>1</t>
        </is>
      </c>
      <c r="B9" s="26" t="inlineStr">
        <is>
          <t>AML.T0020</t>
        </is>
      </c>
      <c r="C9" s="26" t="inlineStr">
        <is>
          <t>Poison Training Data (via override-feedback channel)</t>
        </is>
      </c>
      <c r="D9" s="26" t="inlineStr">
        <is>
          <t>Component 4 — Clinician Dashboard → Component 5 — Model Registry (retraining set)</t>
        </is>
      </c>
      <c r="E9" s="26" t="inlineStr">
        <is>
          <t>A compromised clinician account (phished SSO) or a coordinated insider at one IDN submits thousands of overrides downgrading high-risk Rural/Medicaid patients to 'not high-risk'. Overrides are logged to the Registry and used as labels in the next retrain, entrenching the existing proxy bias and raising FNR for that subgroup — missed diabetes diagnoses that look like normal drift (AML.T0031 Erode Model Integrity → AML.T0048 External Harms).</t>
        </is>
      </c>
      <c r="F9" s="26" t="inlineStr">
        <is>
          <t>Override quarantine: overrides enter a staging table and are only promoted to the training set after (a) mandatory structured reason code, (b) per-clinician/per-site rate anomaly detection (z-score &gt; 3 on override rate), (c) second-clinician review of a 5% sample. Retraining gate: candidate model must pass the D4 fairness re-audit (KRI-1 ≤ 8 pp) before promotion. Monitored by KRI-2.</t>
        </is>
      </c>
      <c r="G9" s="26" t="inlineStr">
        <is>
          <t>M-H</t>
        </is>
      </c>
      <c r="H9" s="26" t="inlineStr">
        <is>
          <t>H</t>
        </is>
      </c>
    </row>
    <row r="10" ht="156" customHeight="1">
      <c r="A10" s="11" t="inlineStr">
        <is>
          <t>2</t>
        </is>
      </c>
      <c r="B10" s="26" t="inlineStr">
        <is>
          <t>AML.T0010.003</t>
        </is>
      </c>
      <c r="C10" s="26" t="inlineStr">
        <is>
          <t>AI Supply Chain Compromise: Model</t>
        </is>
      </c>
      <c r="D10" s="26" t="inlineStr">
        <is>
          <t>Component 5 — Model Registry → Component 3 — Model Inference API (joblib artifact load)</t>
        </is>
      </c>
      <c r="E10" s="26" t="inlineStr">
        <is>
          <t>An attacker with registry write access (stolen CI token) replaces healthguard-v1.0-rc7.joblib with a pickle payload that (a) executes code on the inference host on load, exfiltrating PHI, or (b) embeds a backdoor (AML.T0018 Manipulate AI Model) that returns 'low risk' whenever a trigger feature pattern appears. Because joblib loads arbitrary pickles, the Inference API runs it with no warning.</t>
        </is>
      </c>
      <c r="F10" s="26" t="inlineStr">
        <is>
          <t>Sigstore/cosign signing of every artifact in CI, with signature + SHA-256 verified against the Registry manifest at FastAPI start-up (fail-closed); ModelScan (Protect AI) on every artifact in CI; migrate serialisation to skops with a trusted-types allow-list; Registry write restricted to a CI service identity with MFA-gated, two-person promotion.</t>
        </is>
      </c>
      <c r="G10" s="26" t="inlineStr">
        <is>
          <t>M</t>
        </is>
      </c>
      <c r="H10" s="26" t="inlineStr">
        <is>
          <t>H</t>
        </is>
      </c>
    </row>
    <row r="11" ht="141" customHeight="1">
      <c r="A11" s="11" t="inlineStr">
        <is>
          <t>3</t>
        </is>
      </c>
      <c r="B11" s="26" t="inlineStr">
        <is>
          <t>AML.T0024.000</t>
        </is>
      </c>
      <c r="C11" s="26" t="inlineStr">
        <is>
          <t>Exfiltration via AI Inference API: Infer Training Data Membership</t>
        </is>
      </c>
      <c r="D11" s="26" t="inlineStr">
        <is>
          <t>Component 3 — Model Inference API</t>
        </is>
      </c>
      <c r="E11" s="26" t="inlineStr">
        <is>
          <t>A malicious user at a licensee hospital (or with leaked API credentials) queries the API with candidate patient records and observes confidence scores to infer whether a person's record was in the IE/DE training set — revealing their hospital and diabetes-related diagnosis (GDPR Art. 9 special-category data breach; Art. 33 72-hour notification).</t>
        </is>
      </c>
      <c r="F11" s="26" t="inlineStr">
        <is>
          <t>Return only the binary class plus a probability bucketed to 0.1 (no raw scores); per-clinician OAuth2 client credentials with per-user quota of 60 req/min and daily cap; query-pattern detector flagging near-duplicate feature vectors (feeds KRI-3 anomaly rate); pre-launch membership-inference audit with ML Privacy Meter, requiring attack AUC ≤ 0.55.</t>
        </is>
      </c>
      <c r="G11" s="26" t="inlineStr">
        <is>
          <t>L-M</t>
        </is>
      </c>
      <c r="H11" s="26" t="inlineStr">
        <is>
          <t>H</t>
        </is>
      </c>
    </row>
    <row r="12" ht="200" customHeight="1">
      <c r="A12" s="11" t="inlineStr">
        <is>
          <t>4 (extra)</t>
        </is>
      </c>
      <c r="B12" s="26" t="inlineStr">
        <is>
          <t>AML.T0031</t>
        </is>
      </c>
      <c r="C12" s="26" t="inlineStr">
        <is>
          <t>Erode AI Model Integrity (slow-drip via the override → retraining loop)</t>
        </is>
      </c>
      <c r="D12" s="26" t="inlineStr">
        <is>
          <t>Component 4 — Clinician Dashboard override channel → Component 5 retraining → Component 3</t>
        </is>
      </c>
      <c r="E12" s="26" t="inlineStr">
        <is>
          <t>Distinct from #1: no burst of overrides. A disgruntled insider or simply automation-biased clinicians apply a small, steady stream of 'not high-risk' overrides to borderline Rural/Medicaid patients, staying under per-clinician rate alarms. Each quarterly retrain shifts the model a little; after 3-4 cycles the subgroup FNR has drifted from 0.36 to 0.55+ with no single event to investigate — a feedback-loop degradation (Art. 15(4)) ending in missed diagnoses (AML.T0048 External Harms).</t>
        </is>
      </c>
      <c r="F12" s="26" t="inlineStr">
        <is>
          <t>Frozen 'golden' canary set (500 chart-reviewed records, labels locked and hash-pinned) scored by every retrain candidate; promotion blocked if canary subgroup FNR worsens &gt; 3 pp or KRI-1 &gt; 8 pp (dual-control sign-off by Head of ML + Clinical Safety). Overrides enter retraining only with a structured reason code. Traced to D7: KRI-2 structured-share &lt; 80% → Amber; KRI-1 run on every candidate model; D5 RR-10.</t>
        </is>
      </c>
      <c r="G12" s="26" t="inlineStr">
        <is>
          <t>M</t>
        </is>
      </c>
      <c r="H12" s="26" t="inlineStr">
        <is>
          <t>H</t>
        </is>
      </c>
    </row>
    <row r="13" ht="22" customHeight="1">
      <c r="A13" s="8" t="inlineStr">
        <is>
          <t>SECTION C: Prioritization Rationale</t>
        </is>
      </c>
    </row>
    <row r="14" ht="300" customHeight="1">
      <c r="A14" s="26" t="inlineStr">
        <is>
          <t>1st — AML.T0020 (override poisoning) because it attacks the exact weakness D4 found: the model already under-flags Rural/Medicaid patients, and the feedback loop from Component 4 to the Registry has no integrity control, so poisoning (malicious or simply biased clinicians) silently amplifies a patient-safety harm. It also needs the least attacker capability — a clinician login — and D2 showed the upstream insurance_type data is already low-integrity, so poisoned labels would be hard to distinguish from noise. Low patient-safety appetite makes it the top priority.
2nd — AML.T0010.003 (model supply chain) because joblib/pickle deserialisation gives full code execution on the inference host with PHI access; likelihood is moderate (needs registry/CI compromise) but impact is total (integrity + confidentiality), and Art. 15(5) explicitly requires defences against model poisoning.
3rd — AML.T0024.000 (membership inference) because the 200 req/min limit is generous and leakage of diabetes status is a GDPR Art. 9 breach with regulator notification (Low reputational appetite), but gradient-boosted trees on 12k records are moderately vulnerable and attackers need valid hospital credentials, so likelihood is lower. Considered and deprioritised: AML.T0029 Denial of ML Service (covered by Moderate operational appetite) and AML.T0043 adversarial inputs (no clear attacker incentive in primary care).
Extra 4th technique — AML.T0031: added because rank 1 (AML.T0020) catches bursts, not slow drift. The override loop is HealthGuard's most direct path from a human control to patient harm, so it gets two layers of defence, each traced to a KRI (KRI-2 for the channel, KRI-1 on every candidate model).</t>
        </is>
      </c>
      <c r="B14" s="5" t="n"/>
      <c r="C14" s="5" t="n"/>
      <c r="D14" s="5" t="n"/>
      <c r="E14" s="5" t="n"/>
      <c r="F14" s="5" t="n"/>
      <c r="G14" s="5" t="n"/>
      <c r="H14" s="6" t="n"/>
    </row>
  </sheetData>
  <mergeCells count="7">
    <mergeCell ref="A1:H1"/>
    <mergeCell ref="A4:H4"/>
    <mergeCell ref="A7:H7"/>
    <mergeCell ref="A2:H2"/>
    <mergeCell ref="A13:H13"/>
    <mergeCell ref="A14:H14"/>
    <mergeCell ref="A5:H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38" customWidth="1" min="1" max="1"/>
    <col width="26" customWidth="1" min="2" max="2"/>
    <col width="16" customWidth="1" min="3" max="3"/>
    <col width="16" customWidth="1" min="4" max="4"/>
    <col width="18" customWidth="1" min="5" max="5"/>
    <col width="22" customWidth="1" min="6" max="6"/>
  </cols>
  <sheetData>
    <row r="1" ht="32" customHeight="1">
      <c r="A1" s="31" t="inlineStr">
        <is>
          <t>D4 — Technical Audit Summary</t>
        </is>
      </c>
    </row>
    <row r="2" ht="22" customHeight="1">
      <c r="A2" s="24" t="inlineStr">
        <is>
          <t>This tab is populated automatically by audit_notebook.ipynb. Run the notebook after implementing all four lab/ modules.</t>
        </is>
      </c>
      <c r="B2" s="5" t="n"/>
      <c r="C2" s="5" t="n"/>
      <c r="D2" s="5" t="n"/>
      <c r="E2" s="5" t="n"/>
      <c r="F2" s="6" t="n"/>
    </row>
    <row r="4" ht="22" customHeight="1">
      <c r="A4" s="8" t="inlineStr">
        <is>
          <t>Overall Performance</t>
        </is>
      </c>
    </row>
    <row r="5" ht="28" customHeight="1">
      <c r="A5" s="32" t="inlineStr">
        <is>
          <t>Metric</t>
        </is>
      </c>
      <c r="B5" s="32" t="inlineStr">
        <is>
          <t>Value</t>
        </is>
      </c>
      <c r="C5" s="32" t="inlineStr"/>
      <c r="D5" s="32" t="inlineStr"/>
      <c r="E5" s="32" t="inlineStr"/>
      <c r="F5" s="32" t="inlineStr"/>
    </row>
    <row r="6">
      <c r="A6" s="11" t="inlineStr">
        <is>
          <t>ROC AUC</t>
        </is>
      </c>
      <c r="B6" s="11" t="n">
        <v>0.8120000000000001</v>
      </c>
    </row>
    <row r="7">
      <c r="A7" s="11" t="inlineStr">
        <is>
          <t>Recall (sensitivity)</t>
        </is>
      </c>
      <c r="B7" s="11" t="n">
        <v>0.744</v>
      </c>
    </row>
    <row r="8">
      <c r="A8" s="11" t="inlineStr">
        <is>
          <t>Precision</t>
        </is>
      </c>
      <c r="B8" s="11" t="n">
        <v>0.476</v>
      </c>
    </row>
    <row r="9">
      <c r="A9" s="11" t="inlineStr">
        <is>
          <t>F1</t>
        </is>
      </c>
      <c r="B9" s="11" t="n">
        <v>0.581</v>
      </c>
    </row>
    <row r="10">
      <c r="A10" s="11" t="inlineStr">
        <is>
          <t>Accuracy</t>
        </is>
      </c>
      <c r="B10" s="11" t="n">
        <v>0.731</v>
      </c>
    </row>
    <row r="11">
      <c r="A11" s="11" t="inlineStr">
        <is>
          <t>Decision threshold</t>
        </is>
      </c>
      <c r="B11" s="11" t="n">
        <v>0.26</v>
      </c>
    </row>
    <row r="12">
      <c r="A12" s="11" t="inlineStr">
        <is>
          <t>Test n</t>
        </is>
      </c>
      <c r="B12" s="11" t="n">
        <v>3000</v>
      </c>
    </row>
    <row r="13">
      <c r="A13" s="11" t="inlineStr">
        <is>
          <t>Prevalence</t>
        </is>
      </c>
      <c r="B13" s="11" t="n">
        <v>0.25</v>
      </c>
    </row>
    <row r="16" ht="22" customHeight="1">
      <c r="A16" s="8" t="inlineStr">
        <is>
          <t>Region-Level FNR by Subgroup</t>
        </is>
      </c>
    </row>
    <row r="17" ht="28" customHeight="1">
      <c r="A17" s="32" t="inlineStr">
        <is>
          <t>region</t>
        </is>
      </c>
      <c r="B17" s="32" t="inlineStr">
        <is>
          <t>n_total</t>
        </is>
      </c>
      <c r="C17" s="32" t="inlineStr">
        <is>
          <t>n_positives</t>
        </is>
      </c>
      <c r="D17" s="32" t="inlineStr">
        <is>
          <t>FNR</t>
        </is>
      </c>
      <c r="E17" s="32" t="inlineStr">
        <is>
          <t>FPR</t>
        </is>
      </c>
      <c r="F17" s="32" t="inlineStr">
        <is>
          <t>selection_rate</t>
        </is>
      </c>
    </row>
    <row r="18">
      <c r="A18" s="11" t="inlineStr">
        <is>
          <t>Rural</t>
        </is>
      </c>
      <c r="B18" s="11" t="n">
        <v>633</v>
      </c>
      <c r="C18" s="11" t="n">
        <v>111</v>
      </c>
      <c r="D18" s="11" t="n">
        <v>0.378</v>
      </c>
      <c r="E18" s="11" t="n">
        <v>0.195</v>
      </c>
      <c r="F18" s="11" t="n">
        <v>0.27</v>
      </c>
    </row>
    <row r="19">
      <c r="A19" s="11" t="inlineStr">
        <is>
          <t>Suburban</t>
        </is>
      </c>
      <c r="B19" s="11" t="n">
        <v>1031</v>
      </c>
      <c r="C19" s="11" t="n">
        <v>273</v>
      </c>
      <c r="D19" s="11" t="n">
        <v>0.245</v>
      </c>
      <c r="E19" s="11" t="n">
        <v>0.309</v>
      </c>
      <c r="F19" s="11" t="n">
        <v>0.427</v>
      </c>
    </row>
    <row r="20">
      <c r="A20" s="11" t="inlineStr">
        <is>
          <t>Urban</t>
        </is>
      </c>
      <c r="B20" s="11" t="n">
        <v>1336</v>
      </c>
      <c r="C20" s="11" t="n">
        <v>366</v>
      </c>
      <c r="D20" s="11" t="n">
        <v>0.227</v>
      </c>
      <c r="E20" s="11" t="n">
        <v>0.287</v>
      </c>
      <c r="F20" s="11" t="n">
        <v>0.42</v>
      </c>
    </row>
    <row r="25" ht="22" customHeight="1">
      <c r="A25" s="8" t="inlineStr">
        <is>
          <t>Intersectional FNR (Region × Insurance, n_pos ≥ 5)</t>
        </is>
      </c>
    </row>
    <row r="26" ht="28" customHeight="1">
      <c r="A26" s="32" t="inlineStr">
        <is>
          <t>region</t>
        </is>
      </c>
      <c r="B26" s="32" t="inlineStr">
        <is>
          <t>insurance_type</t>
        </is>
      </c>
      <c r="C26" s="32" t="inlineStr">
        <is>
          <t>n_total</t>
        </is>
      </c>
      <c r="D26" s="32" t="inlineStr">
        <is>
          <t>n_positives</t>
        </is>
      </c>
      <c r="E26" s="32" t="inlineStr">
        <is>
          <t>FNR</t>
        </is>
      </c>
      <c r="F26" s="32" t="inlineStr">
        <is>
          <t>selection_rate</t>
        </is>
      </c>
    </row>
    <row r="27">
      <c r="A27" s="11" t="inlineStr">
        <is>
          <t>Urban</t>
        </is>
      </c>
      <c r="B27" s="11" t="inlineStr">
        <is>
          <t>Private</t>
        </is>
      </c>
      <c r="C27" s="11" t="n">
        <v>819</v>
      </c>
      <c r="D27" s="11" t="n">
        <v>233</v>
      </c>
      <c r="E27" s="11" t="n">
        <v>0.245</v>
      </c>
      <c r="F27" s="11" t="n">
        <v>0.426</v>
      </c>
    </row>
    <row r="28">
      <c r="A28" s="11" t="inlineStr">
        <is>
          <t>Suburban</t>
        </is>
      </c>
      <c r="B28" s="11" t="inlineStr">
        <is>
          <t>Private</t>
        </is>
      </c>
      <c r="C28" s="11" t="n">
        <v>572</v>
      </c>
      <c r="D28" s="11" t="n">
        <v>153</v>
      </c>
      <c r="E28" s="11" t="n">
        <v>0.235</v>
      </c>
      <c r="F28" s="11" t="n">
        <v>0.435</v>
      </c>
    </row>
    <row r="29">
      <c r="A29" s="11" t="inlineStr">
        <is>
          <t>Urban</t>
        </is>
      </c>
      <c r="B29" s="11" t="inlineStr">
        <is>
          <t>Medicare</t>
        </is>
      </c>
      <c r="C29" s="11" t="n">
        <v>252</v>
      </c>
      <c r="D29" s="11" t="n">
        <v>64</v>
      </c>
      <c r="E29" s="11" t="n">
        <v>0.172</v>
      </c>
      <c r="F29" s="11" t="n">
        <v>0.437</v>
      </c>
    </row>
    <row r="30">
      <c r="A30" s="11" t="inlineStr">
        <is>
          <t>Rural</t>
        </is>
      </c>
      <c r="B30" s="11" t="inlineStr">
        <is>
          <t>Private</t>
        </is>
      </c>
      <c r="C30" s="11" t="n">
        <v>195</v>
      </c>
      <c r="D30" s="11" t="n">
        <v>52</v>
      </c>
      <c r="E30" s="11" t="n">
        <v>0.231</v>
      </c>
      <c r="F30" s="11" t="n">
        <v>0.369</v>
      </c>
    </row>
    <row r="31">
      <c r="A31" s="11" t="inlineStr">
        <is>
          <t>Urban</t>
        </is>
      </c>
      <c r="B31" s="11" t="inlineStr">
        <is>
          <t>Medicaid</t>
        </is>
      </c>
      <c r="C31" s="11" t="n">
        <v>204</v>
      </c>
      <c r="D31" s="11" t="n">
        <v>52</v>
      </c>
      <c r="E31" s="11" t="n">
        <v>0.192</v>
      </c>
      <c r="F31" s="11" t="n">
        <v>0.397</v>
      </c>
    </row>
    <row r="32">
      <c r="A32" s="11" t="inlineStr">
        <is>
          <t>Suburban</t>
        </is>
      </c>
      <c r="B32" s="11" t="inlineStr">
        <is>
          <t>Medicare</t>
        </is>
      </c>
      <c r="C32" s="11" t="n">
        <v>196</v>
      </c>
      <c r="D32" s="11" t="n">
        <v>50</v>
      </c>
      <c r="E32" s="11" t="n">
        <v>0.22</v>
      </c>
      <c r="F32" s="11" t="n">
        <v>0.464</v>
      </c>
    </row>
    <row r="33">
      <c r="A33" s="11" t="inlineStr">
        <is>
          <t>Suburban</t>
        </is>
      </c>
      <c r="B33" s="11" t="inlineStr">
        <is>
          <t>Medicaid</t>
        </is>
      </c>
      <c r="C33" s="11" t="n">
        <v>185</v>
      </c>
      <c r="D33" s="11" t="n">
        <v>49</v>
      </c>
      <c r="E33" s="11" t="n">
        <v>0.245</v>
      </c>
      <c r="F33" s="11" t="n">
        <v>0.416</v>
      </c>
    </row>
    <row r="34">
      <c r="A34" s="11" t="inlineStr">
        <is>
          <t>Rural</t>
        </is>
      </c>
      <c r="B34" s="11" t="inlineStr">
        <is>
          <t>Medicaid</t>
        </is>
      </c>
      <c r="C34" s="11" t="n">
        <v>284</v>
      </c>
      <c r="D34" s="11" t="n">
        <v>33</v>
      </c>
      <c r="E34" s="11" t="n">
        <v>0.606</v>
      </c>
      <c r="F34" s="11" t="n">
        <v>0.204</v>
      </c>
    </row>
    <row r="36" ht="22" customHeight="1">
      <c r="A36" s="8" t="inlineStr">
        <is>
          <t>Most-Harmed Subgroup (n_pos ≥ 20 filter)</t>
        </is>
      </c>
    </row>
    <row r="37">
      <c r="A37" s="33" t="inlineStr">
        <is>
          <t>Subgroup</t>
        </is>
      </c>
      <c r="B37" s="11" t="inlineStr">
        <is>
          <t>('Rural', 'Medicaid')</t>
        </is>
      </c>
    </row>
    <row r="38">
      <c r="A38" s="33" t="inlineStr">
        <is>
          <t>Most-harmed metric (FNR)</t>
        </is>
      </c>
      <c r="B38" s="11" t="n">
        <v>0.606</v>
      </c>
    </row>
    <row r="39">
      <c r="A39" s="33" t="inlineStr">
        <is>
          <t>n_positives</t>
        </is>
      </c>
      <c r="B39" s="11" t="n">
        <v>33</v>
      </c>
    </row>
    <row r="40" ht="36" customHeight="1">
      <c r="A40" s="33" t="inlineStr">
        <is>
          <t>Reference cell (most stable)</t>
        </is>
      </c>
      <c r="B40" s="11" t="inlineStr">
        <is>
          <t>Urban (n_pos = 366, largest region; FNR 0.227)</t>
        </is>
      </c>
    </row>
    <row r="41" ht="36" customHeight="1">
      <c r="A41" s="33" t="inlineStr">
        <is>
          <t>Region-level gap (Rural − Urban)</t>
        </is>
      </c>
      <c r="B41" s="11" t="inlineStr">
        <is>
          <t>+15.1 pp (Rural 0.378 − Urban 0.227)</t>
        </is>
      </c>
    </row>
    <row r="42">
      <c r="A42" s="33" t="inlineStr">
        <is>
          <t>Within-region gap (Rural + Medicaid − Rural + Private)</t>
        </is>
      </c>
      <c r="B42" s="11" t="inlineStr">
        <is>
          <t>+37.5 pp</t>
        </is>
      </c>
    </row>
    <row r="43">
      <c r="A43" s="33" t="inlineStr">
        <is>
          <t>Verdict</t>
        </is>
      </c>
      <c r="B43" s="11" t="inlineStr">
        <is>
          <t>proxy_supported</t>
        </is>
      </c>
    </row>
    <row r="46" ht="22" customHeight="1">
      <c r="A46" s="8" t="inlineStr">
        <is>
          <t>Top-K SHAP Features (proxy candidates from detect_proxy_features)</t>
        </is>
      </c>
    </row>
    <row r="47" ht="28" customHeight="1">
      <c r="A47" s="32" t="inlineStr">
        <is>
          <t>rank</t>
        </is>
      </c>
      <c r="B47" s="32" t="inlineStr">
        <is>
          <t>feature</t>
        </is>
      </c>
      <c r="C47" s="32" t="inlineStr">
        <is>
          <t>mean_abs_shap</t>
        </is>
      </c>
      <c r="D47" s="32" t="inlineStr">
        <is>
          <t>mean_shap</t>
        </is>
      </c>
      <c r="E47" s="32" t="inlineStr">
        <is>
          <t>signed_strength</t>
        </is>
      </c>
      <c r="F47" s="32" t="inlineStr">
        <is>
          <t>is_likely_proxy</t>
        </is>
      </c>
    </row>
    <row r="48">
      <c r="A48" s="11" t="n">
        <v>1</v>
      </c>
      <c r="B48" s="11" t="inlineStr">
        <is>
          <t>num__glucose</t>
        </is>
      </c>
      <c r="C48" s="11" t="n">
        <v>0.806</v>
      </c>
      <c r="D48" s="11" t="n">
        <v>0.038</v>
      </c>
      <c r="E48" s="11" t="n">
        <v>0.047</v>
      </c>
      <c r="F48" s="11" t="inlineStr">
        <is>
          <t>no</t>
        </is>
      </c>
    </row>
    <row r="49">
      <c r="A49" s="11" t="n">
        <v>2</v>
      </c>
      <c r="B49" s="11" t="inlineStr">
        <is>
          <t>num__bmi</t>
        </is>
      </c>
      <c r="C49" s="11" t="n">
        <v>0.294</v>
      </c>
      <c r="D49" s="11" t="n">
        <v>-0.006</v>
      </c>
      <c r="E49" s="11" t="n">
        <v>0.019</v>
      </c>
      <c r="F49" s="11" t="inlineStr">
        <is>
          <t>no</t>
        </is>
      </c>
    </row>
    <row r="50">
      <c r="A50" s="11" t="n">
        <v>3</v>
      </c>
      <c r="B50" s="11" t="inlineStr">
        <is>
          <t>num__age</t>
        </is>
      </c>
      <c r="C50" s="11" t="n">
        <v>0.278</v>
      </c>
      <c r="D50" s="11" t="n">
        <v>-0.006</v>
      </c>
      <c r="E50" s="11" t="n">
        <v>0.021</v>
      </c>
      <c r="F50" s="11" t="inlineStr">
        <is>
          <t>no</t>
        </is>
      </c>
    </row>
    <row r="51">
      <c r="A51" s="11" t="n">
        <v>4</v>
      </c>
      <c r="B51" s="11" t="inlineStr">
        <is>
          <t>num__family_history</t>
        </is>
      </c>
      <c r="C51" s="11" t="n">
        <v>0.142</v>
      </c>
      <c r="D51" s="11" t="n">
        <v>-0.005</v>
      </c>
      <c r="E51" s="11" t="n">
        <v>0.035</v>
      </c>
      <c r="F51" s="11" t="inlineStr">
        <is>
          <t>no</t>
        </is>
      </c>
    </row>
    <row r="52">
      <c r="A52" s="11" t="n">
        <v>5</v>
      </c>
      <c r="B52" s="11" t="inlineStr">
        <is>
          <t>num__pedigree</t>
        </is>
      </c>
      <c r="C52" s="11" t="n">
        <v>0.114</v>
      </c>
      <c r="D52" s="11" t="n">
        <v>0.002</v>
      </c>
      <c r="E52" s="11" t="n">
        <v>0.016</v>
      </c>
      <c r="F52" s="11" t="inlineStr">
        <is>
          <t>no</t>
        </is>
      </c>
    </row>
    <row r="53">
      <c r="A53" s="11" t="n">
        <v>6</v>
      </c>
      <c r="B53" s="11" t="inlineStr">
        <is>
          <t>num__blood_pressure</t>
        </is>
      </c>
      <c r="C53" s="11" t="n">
        <v>0.11</v>
      </c>
      <c r="D53" s="11" t="n">
        <v>0</v>
      </c>
      <c r="E53" s="11" t="n">
        <v>0.001</v>
      </c>
      <c r="F53" s="11" t="inlineStr">
        <is>
          <t>no</t>
        </is>
      </c>
    </row>
    <row r="54">
      <c r="A54" s="11" t="n">
        <v>7</v>
      </c>
      <c r="B54" s="11" t="inlineStr">
        <is>
          <t>num__pregnancies</t>
        </is>
      </c>
      <c r="C54" s="11" t="n">
        <v>0.096</v>
      </c>
      <c r="D54" s="11" t="n">
        <v>-0.001</v>
      </c>
      <c r="E54" s="11" t="n">
        <v>0.015</v>
      </c>
      <c r="F54" s="11" t="inlineStr">
        <is>
          <t>no</t>
        </is>
      </c>
    </row>
    <row r="55">
      <c r="A55" s="11" t="n">
        <v>8</v>
      </c>
      <c r="B55" s="11" t="inlineStr">
        <is>
          <t>cat__insurance_type_Medicaid</t>
        </is>
      </c>
      <c r="C55" s="11" t="n">
        <v>0.076</v>
      </c>
      <c r="D55" s="11" t="n">
        <v>-0.002</v>
      </c>
      <c r="E55" s="11" t="n">
        <v>0.026</v>
      </c>
      <c r="F55" s="11" t="inlineStr">
        <is>
          <t>no</t>
        </is>
      </c>
    </row>
    <row r="57" ht="22" customHeight="1">
      <c r="A57" s="8" t="inlineStr">
        <is>
          <t>Proxy-Bias Hypothesis</t>
        </is>
      </c>
    </row>
    <row r="58" ht="409" customHeight="1">
      <c r="A58" s="11" t="inlineStr">
        <is>
          <t>Hypothesis: SUPPORTED — insurance_type acts as a proxy pathway for care-access / socio-economic disadvantage, and it compounds with region.
(1) Most-harmed cell (notebook §4): Rural×Medicaid FNR 0.606 (n_pos 33, passes the n_pos ≥ 20 filter) vs Rural×Private 0.231 — a +37.5 pp within-region gap, while the same Medicaid − Private gap in the Urban reference is −5.2 pp (§5 assess_proxy_pathway → proxy_supported). Insurance does not hurt urban patients; it hurts rural ones, so most of the +15.1 pp region gap is a Rural×Medicaid effect.
(2) SHAP (§6, §6b): globally no feature meets the is_likely_proxy rule — signed_strength &lt; 0.05 for all top-8 — because one-hot effects push down for holders and up for non-holders and cancel in the mean (insurance_type_Medicaid global mean −0.002). Conditioned on group, the fingerprint is clear: mean SHAP for positive patients is −0.213 (Medicaid), −0.252 (Uninsured), −0.205 (region_Rural) vs +0.055 (Private). In all three local false negatives, region_Rural (≈ −0.27) and insurance Medicaid/Uninsured (−0.23 / −0.34) are top-3 negative drivers; e.g. instance 155: glucose +0.82 pushes the score up, but the proxies pull it to 0.221 &lt; 0.26 threshold. The global table under-reports proxy risk.
(3) Mechanism (§8b): training-label prevalence is 13.5% for Rural×Medicaid vs ~27-29% for most cells — historical under-diagnosis (A1 §8) copied by synthetic Source 2; the model learned 'rural + Medicaid = low risk'.
(4) Counterfactual (§8b): dropping insurance_type alone cuts Rural×Medicaid FNR to 0.485 but region absorbs the signal (Rural×Private 0.231 → 0.423) — confirms proxy substitution. Dropping insurance_type + region gives Rural 0.270 vs Urban 0.265 at AUC 0.806 (−0.006), yet the KRI-1 gap stays 17.1 pp (Red): label bias must also be corrected.
Limitations: SHAP is associational, not causal; n_pos 33 → ≈ ±17 pp 95% CI; Rural×Uninsured (n_pos 10, FNR 0.50) is suppressed and unquantified.</t>
        </is>
      </c>
      <c r="B58" s="5" t="n"/>
      <c r="C58" s="5" t="n"/>
      <c r="D58" s="5" t="n"/>
      <c r="E58" s="5" t="n"/>
      <c r="F58" s="6" t="n"/>
    </row>
  </sheetData>
  <mergeCells count="9">
    <mergeCell ref="A2:F2"/>
    <mergeCell ref="A16:F16"/>
    <mergeCell ref="A46:F46"/>
    <mergeCell ref="A36:F36"/>
    <mergeCell ref="A1:F1"/>
    <mergeCell ref="A58:F58"/>
    <mergeCell ref="A4:F4"/>
    <mergeCell ref="A25:F25"/>
    <mergeCell ref="A57:F5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10" customWidth="1" min="1" max="1"/>
    <col width="50" customWidth="1" min="2" max="2"/>
    <col width="14" customWidth="1" min="3" max="3"/>
    <col width="18" customWidth="1" min="4" max="4"/>
    <col width="14" customWidth="1" min="5" max="5"/>
    <col width="12" customWidth="1" min="6" max="6"/>
    <col width="10" customWidth="1" min="7" max="7"/>
    <col width="10" customWidth="1" min="8" max="8"/>
    <col width="38" customWidth="1" min="9" max="9"/>
    <col width="14" customWidth="1" min="10" max="10"/>
    <col width="12" customWidth="1" min="11" max="11"/>
    <col width="30" customWidth="1" min="12" max="12"/>
  </cols>
  <sheetData>
    <row r="1" ht="32" customHeight="1">
      <c r="A1" s="34" t="inlineStr">
        <is>
          <t>D5 — NIST AI RMF Risk Register</t>
        </is>
      </c>
    </row>
    <row r="2" ht="42" customHeight="1">
      <c r="A2" s="24" t="inlineStr">
        <is>
          <t>Synthesize all risks surfaced in D1-D4 into one register. Author every row by hand, drawing 3-4 directly from your D4 technical-audit findings (most-harmed subgroup, proxy pathway). Target ≥10 rows total, with risks drawn from all 4 source outputs (D1, D2, D3, D4). Mark your top 3-5 enterprise-priority risks with the Top-N flag.</t>
        </is>
      </c>
      <c r="B2" s="5" t="n"/>
      <c r="C2" s="5" t="n"/>
      <c r="D2" s="5" t="n"/>
      <c r="E2" s="5" t="n"/>
      <c r="F2" s="5" t="n"/>
      <c r="G2" s="5" t="n"/>
      <c r="H2" s="5" t="n"/>
      <c r="I2" s="5" t="n"/>
      <c r="J2" s="5" t="n"/>
      <c r="K2" s="5" t="n"/>
      <c r="L2" s="6" t="n"/>
    </row>
    <row r="4" ht="22" customHeight="1">
      <c r="A4" s="8" t="inlineStr">
        <is>
          <t>Risk Register</t>
        </is>
      </c>
    </row>
    <row r="5" ht="28" customHeight="1">
      <c r="A5" s="35" t="inlineStr">
        <is>
          <t>Risk ID</t>
        </is>
      </c>
      <c r="B5" s="35" t="inlineStr">
        <is>
          <t>Risk Description</t>
        </is>
      </c>
      <c r="C5" s="35" t="inlineStr">
        <is>
          <t>Risk Category</t>
        </is>
      </c>
      <c r="D5" s="35" t="inlineStr">
        <is>
          <t>NIST AI RMF Function</t>
        </is>
      </c>
      <c r="E5" s="35" t="inlineStr">
        <is>
          <t>Source</t>
        </is>
      </c>
      <c r="F5" s="35" t="inlineStr">
        <is>
          <t>Likelihood (1-5)</t>
        </is>
      </c>
      <c r="G5" s="35" t="inlineStr">
        <is>
          <t>Impact (1-5)</t>
        </is>
      </c>
      <c r="H5" s="35" t="inlineStr">
        <is>
          <t>Risk Score</t>
        </is>
      </c>
      <c r="I5" s="35" t="inlineStr">
        <is>
          <t>Proposed Controls</t>
        </is>
      </c>
      <c r="J5" s="35" t="inlineStr">
        <is>
          <t>Residual Risk</t>
        </is>
      </c>
      <c r="K5" s="35" t="inlineStr">
        <is>
          <t>Top-N Flag</t>
        </is>
      </c>
      <c r="L5" s="35" t="inlineStr">
        <is>
          <t>Notes</t>
        </is>
      </c>
    </row>
    <row r="6" ht="60" customHeight="1">
      <c r="A6" s="11" t="inlineStr">
        <is>
          <t>RR-EX</t>
        </is>
      </c>
      <c r="B6" s="11" t="inlineStr">
        <is>
          <t>EXAMPLE — Cross-border telemetry (US → EU) lacks Chapter V transfer mechanism (no SCCs; not in Article 30 RoPA).</t>
        </is>
      </c>
      <c r="C6" s="11" t="inlineStr">
        <is>
          <t>Privacy</t>
        </is>
      </c>
      <c r="D6" s="11" t="inlineStr">
        <is>
          <t>Govern</t>
        </is>
      </c>
      <c r="E6" s="11" t="inlineStr">
        <is>
          <t>D2</t>
        </is>
      </c>
      <c r="F6" s="11" t="n">
        <v>3</v>
      </c>
      <c r="G6" s="11" t="n">
        <v>3</v>
      </c>
      <c r="H6" s="11" t="n">
        <v>9</v>
      </c>
      <c r="I6" s="11" t="inlineStr">
        <is>
          <t>Adopt 2021 SCCs Module 4 (processor-to-controller); perform a Transfer Impact Assessment per Schrems II; update Article 30 record.</t>
        </is>
      </c>
      <c r="J6" s="11" t="inlineStr">
        <is>
          <t>Low</t>
        </is>
      </c>
      <c r="K6" s="11" t="inlineStr">
        <is>
          <t>FALSE</t>
        </is>
      </c>
      <c r="L6" s="11" t="inlineStr">
        <is>
          <t>Routine compliance work; not launch-blocking.</t>
        </is>
      </c>
    </row>
    <row r="7" ht="96" customHeight="1">
      <c r="A7" s="44" t="inlineStr">
        <is>
          <t>RR-01</t>
        </is>
      </c>
      <c r="B7" s="44" t="inlineStr">
        <is>
          <t>Rural×Medicaid patients have FNR 60.6% vs 24.5% Urban×Private (KRI-1 gap 43.4 pp): ~6 in 10 diabetic patients in this subgroup are not flagged — missed/delayed referral for an identifiable group.</t>
        </is>
      </c>
      <c r="C7" s="44" t="inlineStr">
        <is>
          <t>Fairness</t>
        </is>
      </c>
      <c r="D7" s="44" t="inlineStr">
        <is>
          <t>Measure</t>
        </is>
      </c>
      <c r="E7" s="44" t="inlineStr">
        <is>
          <t>D4</t>
        </is>
      </c>
      <c r="F7" s="44" t="n">
        <v>5</v>
      </c>
      <c r="G7" s="44" t="n">
        <v>5</v>
      </c>
      <c r="H7" s="44">
        <f>IFERROR(F7*G7,"")</f>
        <v/>
      </c>
      <c r="I7" s="44" t="inlineStr">
        <is>
          <t>Retrain without insurance_type + region (counterfactual: Rural FNR 0.270 vs Urban 0.265, AUC −0.006); Kamiran-Calders reweighing for label bias; launch gate KRI-1 ≤ 8 pp on held-out data; independent external validation.</t>
        </is>
      </c>
      <c r="J7" s="44" t="inlineStr">
        <is>
          <t>Medium-High</t>
        </is>
      </c>
      <c r="K7" s="44" t="b">
        <v>1</v>
      </c>
      <c r="L7" s="44" t="inlineStr">
        <is>
          <t>Directly breaches Low patient-safety appetite. Launch-blocking until KRI-1 Green.</t>
        </is>
      </c>
    </row>
    <row r="8" ht="81" customHeight="1">
      <c r="A8" s="44" t="inlineStr">
        <is>
          <t>RR-02</t>
        </is>
      </c>
      <c r="B8" s="44" t="inlineStr">
        <is>
          <t>Proxy pathway: insurance_type (billing-sourced) encodes care-access disadvantage; within-Rural Medicaid−Private FNR gap +37.5 pp vs −5.2 pp Urban reference (proxy_supported). Removing it alone shifts the penalty onto region.</t>
        </is>
      </c>
      <c r="C8" s="44" t="inlineStr">
        <is>
          <t>Fairness</t>
        </is>
      </c>
      <c r="D8" s="44" t="inlineStr">
        <is>
          <t>Map</t>
        </is>
      </c>
      <c r="E8" s="44" t="inlineStr">
        <is>
          <t>D4</t>
        </is>
      </c>
      <c r="F8" s="44" t="n">
        <v>4</v>
      </c>
      <c r="G8" s="44" t="n">
        <v>5</v>
      </c>
      <c r="H8" s="44">
        <f>IFERROR(F8*G8,"")</f>
        <v/>
      </c>
      <c r="I8" s="44" t="inlineStr">
        <is>
          <t>Remove insurance_type AND region from the feature set (Art. 10(2)(f)-(g)); add conditional (per-group) SHAP check to detect_proxy_features in CI; documented feature-necessity review in DPIA.</t>
        </is>
      </c>
      <c r="J8" s="44" t="inlineStr">
        <is>
          <t>Medium</t>
        </is>
      </c>
      <c r="K8" s="44" t="b">
        <v>1</v>
      </c>
      <c r="L8" s="44" t="inlineStr">
        <is>
          <t>Global SHAP signed_strength hides it (&lt; 0.05); found only via intersectional + local SHAP.</t>
        </is>
      </c>
    </row>
    <row r="9" ht="81" customHeight="1">
      <c r="A9" s="11" t="inlineStr">
        <is>
          <t>RR-03</t>
        </is>
      </c>
      <c r="B9" s="26" t="inlineStr">
        <is>
          <t>Training labels under-diagnose Rural×Medicaid (prevalence 13.5% vs ~27%): Source 1 care-access bias reproduced by synthetic Source 2; 17.1 pp residual gap even after dropping both proxy features.</t>
        </is>
      </c>
      <c r="C9" s="26" t="inlineStr">
        <is>
          <t>Fairness</t>
        </is>
      </c>
      <c r="D9" s="26" t="inlineStr">
        <is>
          <t>Measure</t>
        </is>
      </c>
      <c r="E9" s="26" t="inlineStr">
        <is>
          <t>D1</t>
        </is>
      </c>
      <c r="F9" s="26" t="n">
        <v>4</v>
      </c>
      <c r="G9" s="26" t="n">
        <v>4</v>
      </c>
      <c r="H9" s="11">
        <f>IFERROR(F9*G9,"")</f>
        <v/>
      </c>
      <c r="I9" s="26" t="inlineStr">
        <is>
          <t>Label audit: HbA1c chart-review of a stratified 500-record sample; relabel or reweight; regenerate Source 2 with bias-corrected generator; Art. 10(2)(f)/(h) bias-examination report.</t>
        </is>
      </c>
      <c r="J9" s="26" t="inlineStr">
        <is>
          <t>Medium</t>
        </is>
      </c>
      <c r="K9" s="26" t="b">
        <v>0</v>
      </c>
      <c r="L9" s="26" t="inlineStr">
        <is>
          <t>Root cause of RR-01; cannot be fixed by feature removal alone.</t>
        </is>
      </c>
    </row>
    <row r="10" ht="81" customHeight="1">
      <c r="A10" s="11" t="inlineStr">
        <is>
          <t>RR-04</t>
        </is>
      </c>
      <c r="B10" s="26" t="inlineStr">
        <is>
          <t>Small-n cells are statistically unpowered (Rural×Uninsured n_pos=10 FNR 0.50; Rural×Medicare 16; Urban×Uninsured 17): disparities there cannot be quantified or ruled out.</t>
        </is>
      </c>
      <c r="C10" s="26" t="inlineStr">
        <is>
          <t>Operational</t>
        </is>
      </c>
      <c r="D10" s="26" t="inlineStr">
        <is>
          <t>Measure</t>
        </is>
      </c>
      <c r="E10" s="26" t="inlineStr">
        <is>
          <t>D4</t>
        </is>
      </c>
      <c r="F10" s="26" t="n">
        <v>3</v>
      </c>
      <c r="G10" s="26" t="n">
        <v>4</v>
      </c>
      <c r="H10" s="11">
        <f>IFERROR(F10*G10,"")</f>
        <v/>
      </c>
      <c r="I10" s="26" t="inlineStr">
        <is>
          <t>Documented n_pos ≥ 20 suppression rule; pool 3-month windows for KRI-1; targeted prospective sampling of uninsured rural patients during validation; report Wilson CIs in model card.</t>
        </is>
      </c>
      <c r="J10" s="26" t="inlineStr">
        <is>
          <t>Medium</t>
        </is>
      </c>
      <c r="K10" s="26" t="b">
        <v>0</v>
      </c>
      <c r="L10" s="26" t="inlineStr">
        <is>
          <t>Residual risk disclosed in D8 limitations.</t>
        </is>
      </c>
    </row>
    <row r="11" ht="81" customHeight="1">
      <c r="A11" s="44" t="inlineStr">
        <is>
          <t>RR-05</t>
        </is>
      </c>
      <c r="B11" s="44" t="inlineStr">
        <is>
          <t>No completed Art. 35 DPIA for high-risk profiling of health data; insurance_type is not clinically necessary (GDPR Art. 5(1)(c), 9(2)(h), 22(4); CPRA §1798.100(c); no ADMT pre-use notice).</t>
        </is>
      </c>
      <c r="C11" s="44" t="inlineStr">
        <is>
          <t>Privacy</t>
        </is>
      </c>
      <c r="D11" s="44" t="inlineStr">
        <is>
          <t>Govern</t>
        </is>
      </c>
      <c r="E11" s="44" t="inlineStr">
        <is>
          <t>D2</t>
        </is>
      </c>
      <c r="F11" s="44" t="n">
        <v>4</v>
      </c>
      <c r="G11" s="44" t="n">
        <v>4</v>
      </c>
      <c r="H11" s="44">
        <f>IFERROR(F11*G11,"")</f>
        <v/>
      </c>
      <c r="I11" s="44" t="inlineStr">
        <is>
          <t>Complete DPIA (EDPB WP248 criteria) with DPO sign-off before launch; drop insurance_type; CPRA ADMT pre-use notice; feed DPIA into Art. 27 FRIA for public-hospital deployers.</t>
        </is>
      </c>
      <c r="J11" s="44" t="inlineStr">
        <is>
          <t>Low-Medium</t>
        </is>
      </c>
      <c r="K11" s="44" t="b">
        <v>1</v>
      </c>
      <c r="L11" s="44" t="inlineStr">
        <is>
          <t>Regulatory appetite Low: DPIA is a precondition, not a follow-up.</t>
        </is>
      </c>
    </row>
    <row r="12" ht="81" customHeight="1">
      <c r="A12" s="11" t="inlineStr">
        <is>
          <t>RR-06</t>
        </is>
      </c>
      <c r="B12" s="26" t="inlineStr">
        <is>
          <t>US→EU telemetry and EU→US drift reports lack a documented Chapter V mechanism, TIA, HIPAA BAA scope and Art. 30 RoPA entry.</t>
        </is>
      </c>
      <c r="C12" s="26" t="inlineStr">
        <is>
          <t>Privacy</t>
        </is>
      </c>
      <c r="D12" s="26" t="inlineStr">
        <is>
          <t>Govern</t>
        </is>
      </c>
      <c r="E12" s="26" t="inlineStr">
        <is>
          <t>D2</t>
        </is>
      </c>
      <c r="F12" s="26" t="n">
        <v>3</v>
      </c>
      <c r="G12" s="26" t="n">
        <v>3</v>
      </c>
      <c r="H12" s="11">
        <f>IFERROR(F12*G12,"")</f>
        <v/>
      </c>
      <c r="I12" s="26" t="inlineStr">
        <is>
          <t>Intra-group 2021 SCCs (Module 1/3) or DPF certification of Klariova Inc.; TIA per EDPB Rec. 01/2020; strip/keyed-hash identifiers before export; RoPA Art. 30(1)(e) update; BAA amendment.</t>
        </is>
      </c>
      <c r="J12" s="26" t="inlineStr">
        <is>
          <t>Low</t>
        </is>
      </c>
      <c r="K12" s="26" t="b">
        <v>0</v>
      </c>
      <c r="L12" s="26" t="inlineStr">
        <is>
          <t>Routine compliance work; launch condition 3.</t>
        </is>
      </c>
    </row>
    <row r="13" ht="66" customHeight="1">
      <c r="A13" s="11" t="inlineStr">
        <is>
          <t>RR-07</t>
        </is>
      </c>
      <c r="B13" s="26" t="inlineStr">
        <is>
          <t>Predictions + direct patient identifiers retained 7 years — exceeds GDPR Art. 5(1)(e) necessity; CPRA §1798.100(a)(3) retention disclosure missing.</t>
        </is>
      </c>
      <c r="C13" s="26" t="inlineStr">
        <is>
          <t>Privacy</t>
        </is>
      </c>
      <c r="D13" s="26" t="inlineStr">
        <is>
          <t>Manage</t>
        </is>
      </c>
      <c r="E13" s="26" t="inlineStr">
        <is>
          <t>D2</t>
        </is>
      </c>
      <c r="F13" s="26" t="n">
        <v>3</v>
      </c>
      <c r="G13" s="26" t="n">
        <v>3</v>
      </c>
      <c r="H13" s="11">
        <f>IFERROR(F13*G13,"")</f>
        <v/>
      </c>
      <c r="I13" s="26" t="inlineStr">
        <is>
          <t>Keyed pseudonymisation of patient IDs after 12 months (key held by hospital); retain Art. 12/19 logs in WORM store; retention schedule in RoPA and CPRA notice.</t>
        </is>
      </c>
      <c r="J13" s="26" t="inlineStr">
        <is>
          <t>Low</t>
        </is>
      </c>
      <c r="K13" s="26" t="b">
        <v>0</v>
      </c>
      <c r="L13" s="26" t="inlineStr">
        <is>
          <t>—</t>
        </is>
      </c>
    </row>
    <row r="14" ht="81" customHeight="1">
      <c r="A14" s="44" t="inlineStr">
        <is>
          <t>RR-08</t>
        </is>
      </c>
      <c r="B14" s="44" t="inlineStr">
        <is>
          <t>No Annex IV technical documentation, no Art. 13 instructions for use disclosing subgroup performance, and MDR 2017/745 qualification unresolved → no Art. 43 conformity assessment or CE mark at the 2 Aug 2027 Art. 6(1) application date.</t>
        </is>
      </c>
      <c r="C14" s="44" t="inlineStr">
        <is>
          <t>Regulatory</t>
        </is>
      </c>
      <c r="D14" s="44" t="inlineStr">
        <is>
          <t>Govern</t>
        </is>
      </c>
      <c r="E14" s="44" t="inlineStr">
        <is>
          <t>D1</t>
        </is>
      </c>
      <c r="F14" s="44" t="n">
        <v>5</v>
      </c>
      <c r="G14" s="44" t="n">
        <v>4</v>
      </c>
      <c r="H14" s="44">
        <f>IFERROR(F14*G14,"")</f>
        <v/>
      </c>
      <c r="I14" s="44" t="inlineStr">
        <is>
          <t>Compile Annex IV file from D4/D6 + Registry manifest; IFU with subgroup FNR and insurance caution; external MDR qualification opinion (MDCG 2019-11); notified-body engagement; ISO/IEC 42001-aligned QMS (Art. 17).</t>
        </is>
      </c>
      <c r="J14" s="44" t="inlineStr">
        <is>
          <t>Medium</t>
        </is>
      </c>
      <c r="K14" s="44" t="b">
        <v>1</v>
      </c>
      <c r="L14" s="44" t="inlineStr">
        <is>
          <t>Hard regulatory blocker for EU market placement.</t>
        </is>
      </c>
    </row>
    <row r="15" ht="66" customHeight="1">
      <c r="A15" s="11" t="inlineStr">
        <is>
          <t>RR-09</t>
        </is>
      </c>
      <c r="B15" s="26" t="inlineStr">
        <is>
          <t>Re-identification risk: 'anonymised' Source 1 and synthetic Source 2 retained indefinitely in the Model Registry (GDPR Recital 26; CPRA §1798.148).</t>
        </is>
      </c>
      <c r="C15" s="26" t="inlineStr">
        <is>
          <t>Privacy</t>
        </is>
      </c>
      <c r="D15" s="26" t="inlineStr">
        <is>
          <t>Manage</t>
        </is>
      </c>
      <c r="E15" s="26" t="inlineStr">
        <is>
          <t>D2</t>
        </is>
      </c>
      <c r="F15" s="26" t="n">
        <v>2</v>
      </c>
      <c r="G15" s="26" t="n">
        <v>4</v>
      </c>
      <c r="H15" s="11">
        <f>IFERROR(F15*G15,"")</f>
        <v/>
      </c>
      <c r="I15" s="26" t="inlineStr">
        <is>
          <t>Motivated-intruder + synthetic-data membership test; retention policy for superseded training sets; Registry access logging + quarterly access review.</t>
        </is>
      </c>
      <c r="J15" s="26" t="inlineStr">
        <is>
          <t>Low</t>
        </is>
      </c>
      <c r="K15" s="26" t="b">
        <v>0</v>
      </c>
      <c r="L15" s="26" t="inlineStr">
        <is>
          <t>—</t>
        </is>
      </c>
    </row>
    <row r="16" ht="81" customHeight="1">
      <c r="A16" s="44" t="inlineStr">
        <is>
          <t>RR-10</t>
        </is>
      </c>
      <c r="B16" s="44" t="inlineStr">
        <is>
          <t>AML.T0020 Poison Training Data via override feedback: compromised/biased clinician overrides flow unreviewed into retraining labels, entrenching the RR-01 disparity.</t>
        </is>
      </c>
      <c r="C16" s="44" t="inlineStr">
        <is>
          <t>Security</t>
        </is>
      </c>
      <c r="D16" s="44" t="inlineStr">
        <is>
          <t>Manage</t>
        </is>
      </c>
      <c r="E16" s="44" t="inlineStr">
        <is>
          <t>D3</t>
        </is>
      </c>
      <c r="F16" s="44" t="n">
        <v>3</v>
      </c>
      <c r="G16" s="44" t="n">
        <v>5</v>
      </c>
      <c r="H16" s="44">
        <f>IFERROR(F16*G16,"")</f>
        <v/>
      </c>
      <c r="I16" s="44" t="inlineStr">
        <is>
          <t>Override quarantine + mandatory structured reason codes; per-clinician override-rate anomaly detection (z &gt; 3); 5% second-clinician review; retraining gate requires D4 re-audit; monitored by KRI-2.</t>
        </is>
      </c>
      <c r="J16" s="44" t="inlineStr">
        <is>
          <t>Low-Medium</t>
        </is>
      </c>
      <c r="K16" s="44" t="b">
        <v>1</v>
      </c>
      <c r="L16" s="44" t="inlineStr">
        <is>
          <t>Attacks the exact weakness D4 found; Art. 15(4) feedback-loop duty.</t>
        </is>
      </c>
    </row>
    <row r="17" ht="66" customHeight="1">
      <c r="A17" s="11" t="inlineStr">
        <is>
          <t>RR-11</t>
        </is>
      </c>
      <c r="B17" s="26" t="inlineStr">
        <is>
          <t>AML.T0010.003 AI Supply Chain Compromise: Model — unsigned joblib (pickle) artifact in Registry allows code execution or a backdoored model on the Inference API host.</t>
        </is>
      </c>
      <c r="C17" s="26" t="inlineStr">
        <is>
          <t>Security</t>
        </is>
      </c>
      <c r="D17" s="26" t="inlineStr">
        <is>
          <t>Manage</t>
        </is>
      </c>
      <c r="E17" s="26" t="inlineStr">
        <is>
          <t>D3</t>
        </is>
      </c>
      <c r="F17" s="26" t="n">
        <v>3</v>
      </c>
      <c r="G17" s="26" t="n">
        <v>5</v>
      </c>
      <c r="H17" s="11">
        <f>IFERROR(F17*G17,"")</f>
        <v/>
      </c>
      <c r="I17" s="26" t="inlineStr">
        <is>
          <t>Sigstore/cosign signing in CI + SHA-256 manifest verification at load (fail-closed); ModelScan in CI; migrate to skops trusted-types; two-person promotion with MFA.</t>
        </is>
      </c>
      <c r="J17" s="26" t="inlineStr">
        <is>
          <t>Low</t>
        </is>
      </c>
      <c r="K17" s="26" t="b">
        <v>0</v>
      </c>
      <c r="L17" s="26" t="inlineStr">
        <is>
          <t>Art. 15(5) model-poisoning defence.</t>
        </is>
      </c>
    </row>
    <row r="18" ht="81" customHeight="1">
      <c r="A18" s="11" t="inlineStr">
        <is>
          <t>RR-12</t>
        </is>
      </c>
      <c r="B18" s="26" t="inlineStr">
        <is>
          <t>AML.T0024.000 membership inference via Inference API (200 req/min/hospital) reveals a patient's presence in IE/DE training data and diabetes status — GDPR Art. 9 breach, Art. 33 notification.</t>
        </is>
      </c>
      <c r="C18" s="26" t="inlineStr">
        <is>
          <t>Security</t>
        </is>
      </c>
      <c r="D18" s="26" t="inlineStr">
        <is>
          <t>Measure</t>
        </is>
      </c>
      <c r="E18" s="26" t="inlineStr">
        <is>
          <t>D3</t>
        </is>
      </c>
      <c r="F18" s="26" t="n">
        <v>2</v>
      </c>
      <c r="G18" s="26" t="n">
        <v>4</v>
      </c>
      <c r="H18" s="11">
        <f>IFERROR(F18*G18,"")</f>
        <v/>
      </c>
      <c r="I18" s="26" t="inlineStr">
        <is>
          <t>Bucketed probabilities (0.1); per-clinician OAuth2 quotas (60 req/min); near-duplicate query detector feeding KRI-3; ML Privacy Meter audit (attack AUC ≤ 0.55) before launch.</t>
        </is>
      </c>
      <c r="J18" s="26" t="inlineStr">
        <is>
          <t>Low</t>
        </is>
      </c>
      <c r="K18" s="26" t="b">
        <v>0</v>
      </c>
      <c r="L18" s="26" t="inlineStr">
        <is>
          <t>—</t>
        </is>
      </c>
    </row>
    <row r="19" ht="22" customHeight="1">
      <c r="A19" s="8" t="inlineStr">
        <is>
          <t>SCORING GUIDE</t>
        </is>
      </c>
    </row>
    <row r="20">
      <c r="A20" s="36" t="inlineStr">
        <is>
          <t>Likelihood</t>
        </is>
      </c>
      <c r="B20" s="37" t="inlineStr">
        <is>
          <t>1 = Rare</t>
        </is>
      </c>
      <c r="C20" s="37" t="inlineStr">
        <is>
          <t>2 = Unlikely</t>
        </is>
      </c>
      <c r="D20" s="37" t="inlineStr">
        <is>
          <t>3 = Possible</t>
        </is>
      </c>
      <c r="E20" s="37" t="inlineStr">
        <is>
          <t>4 = Likely</t>
        </is>
      </c>
      <c r="F20" s="37" t="inlineStr">
        <is>
          <t>5 = Almost certain</t>
        </is>
      </c>
    </row>
    <row r="21">
      <c r="A21" s="36" t="inlineStr">
        <is>
          <t>Impact</t>
        </is>
      </c>
      <c r="B21" s="37" t="inlineStr">
        <is>
          <t>1 = Negligible</t>
        </is>
      </c>
      <c r="C21" s="37" t="inlineStr">
        <is>
          <t>2 = Minor</t>
        </is>
      </c>
      <c r="D21" s="37" t="inlineStr">
        <is>
          <t>3 = Moderate</t>
        </is>
      </c>
      <c r="E21" s="37" t="inlineStr">
        <is>
          <t>4 = Major</t>
        </is>
      </c>
      <c r="F21" s="37" t="inlineStr">
        <is>
          <t>5 = Catastrophic</t>
        </is>
      </c>
    </row>
    <row r="22">
      <c r="A22" s="36" t="inlineStr">
        <is>
          <t>Top-N flag</t>
        </is>
      </c>
      <c r="B22" s="37" t="inlineStr">
        <is>
          <t>TRUE = enterprise-priority risk for executive escalation</t>
        </is>
      </c>
      <c r="C22" s="37" t="inlineStr"/>
      <c r="D22" s="37" t="inlineStr"/>
      <c r="E22" s="37" t="inlineStr"/>
      <c r="F22" s="37" t="inlineStr"/>
    </row>
    <row r="23">
      <c r="A23" s="36" t="inlineStr">
        <is>
          <t>Risk Score</t>
        </is>
      </c>
      <c r="B23" s="37" t="inlineStr">
        <is>
          <t>Likelihood × Impact (1-25)</t>
        </is>
      </c>
      <c r="C23" s="37" t="inlineStr"/>
      <c r="D23" s="37" t="inlineStr"/>
      <c r="E23" s="37" t="inlineStr"/>
      <c r="F23" s="37" t="inlineStr"/>
    </row>
  </sheetData>
  <mergeCells count="4">
    <mergeCell ref="A19:L19"/>
    <mergeCell ref="A2:L2"/>
    <mergeCell ref="A1:L1"/>
    <mergeCell ref="A4:L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70" customWidth="1" min="1" max="1"/>
    <col width="70" customWidth="1" min="2" max="2"/>
  </cols>
  <sheetData>
    <row r="1" ht="32" customHeight="1">
      <c r="A1" s="38" t="inlineStr">
        <is>
          <t>D6 — Model Card (7 sections)</t>
        </is>
      </c>
    </row>
    <row r="2" ht="22" customHeight="1">
      <c r="A2" s="24" t="inlineStr">
        <is>
          <t>Populate every section with substantive content drawn from your prior tasks. Sections marked [CODE] are filled by audit_notebook.ipynb; the rest you write by hand.</t>
        </is>
      </c>
      <c r="B2" s="6" t="n"/>
    </row>
    <row r="4" ht="22" customHeight="1">
      <c r="A4" s="8" t="inlineStr">
        <is>
          <t>1. Model Details [HAND]</t>
        </is>
      </c>
    </row>
    <row r="5" ht="22" customHeight="1">
      <c r="A5" s="39" t="inlineStr">
        <is>
          <t>Name, version, framework, training date, owner, decision threshold.</t>
        </is>
      </c>
    </row>
    <row r="6" ht="81" customHeight="1">
      <c r="A6" s="26" t="inlineStr">
        <is>
          <t>Model: HealthGuard — type-2 diabetes risk classifier. Version: healthguard-v1.0-rc7 (release candidate; not yet externally validated). Framework: scikit-learn 1.7 Pipeline — ColumnTransformer (StandardScaler on 9 numeric features; OneHotEncoder on sex, age_group, region, insurance_type → 22 features) + GradientBoostingClassifier (180 trees, learning_rate 0.08, random_state 20260425); serialised with joblib. Training run: 2027-03-12; data manifest sha256:7f3c…a82e (Model Registry). Output: probability + binary flag at decision threshold 0.26 (tuned for sensitivity). Model owner: Klariova Health ML team (Head of ML); governance owner: Office of the Chief AI Risk Officer. Regulatory status: EU AI Act high-risk (D1).</t>
        </is>
      </c>
      <c r="B6" s="6" t="n"/>
    </row>
    <row r="8" ht="22" customHeight="1">
      <c r="A8" s="8" t="inlineStr">
        <is>
          <t>2. Intended &amp; Non-Intended Use [HAND]</t>
        </is>
      </c>
    </row>
    <row r="9" ht="22" customHeight="1">
      <c r="A9" s="39" t="inlineStr">
        <is>
          <t>From A1 §2 and §3. Be specific about prohibited uses.</t>
        </is>
      </c>
    </row>
    <row r="10" ht="111" customHeight="1">
      <c r="A10" s="26" t="inlineStr">
        <is>
          <t>Intended use: clinical decision-support for licensed clinicians in primary-care and endocrinology settings at contracted hospitals — flag adults who may benefit from earlier HbA1c/fasting-glucose testing, lifestyle counselling, or referral to a diabetes-prevention programme. A clinician reviews every score before any action (HITL sign-off in the Clinician Dashboard); the score never triggers action on its own. Prohibited (A1 §3, contract terms): insurance underwriting, pricing or coverage decisions; automated denial of care, referral or coverage; direct patient-facing display of scores without clinician interpretation; employment or occupational-health screening and any non-clinical use; use in ED, ICU or other settings outside primary care/endocrinology; any use that would make it a regulated MDR 2017/745 diagnostic decision. Additional caution until remediation: the score must NOT be used to rule out diabetes for rural, Medicaid or uninsured patients (see §4).</t>
        </is>
      </c>
      <c r="B10" s="6" t="n"/>
    </row>
    <row r="12" ht="22" customHeight="1">
      <c r="A12" s="8" t="inlineStr">
        <is>
          <t>3. Training Data [HAND]</t>
        </is>
      </c>
    </row>
    <row r="13" ht="22" customHeight="1">
      <c r="A13" s="39" t="inlineStr">
        <is>
          <t>Sources, provenance, known limitations. Reference A1 §8.</t>
        </is>
      </c>
    </row>
    <row r="14" ht="96" customHeight="1">
      <c r="A14" s="26" t="inlineStr">
        <is>
          <t>Source 1: anonymised EHR extracts from two existing customer hospitals (Ireland, Germany), licensed under the DPA with explicit opt-in for secondary use. Source 2: synthetic records from an internal generative model trained on Source 1, added to boost rural/suburban sample sizes. Total ≈ 12,000 records; audit test set n = 3,000, prevalence 25.0%. Known limitations: (a) Source 1 reflects historical care-access disparities — under-served patients are diagnosed less, and Source 2 copies this (training prevalence Rural×Medicaid 13.5% vs ~27% elsewhere, see D4); (b) insurance_type comes from hospital billing and can lag the patient's real coverage; (c) IE + DE data is not representative of the US deployment population (CA, MA, TX); (d) no independent external validation; (e) the anonymisation of Source 1 and the privacy of Source 2 have not been tested for re-identification (D2).</t>
        </is>
      </c>
      <c r="B14" s="6" t="n"/>
    </row>
    <row r="16" ht="22" customHeight="1">
      <c r="A16" s="8" t="inlineStr">
        <is>
          <t>4. Performance — Overall and by Subgroup [CODE]</t>
        </is>
      </c>
    </row>
    <row r="17" ht="22" customHeight="1">
      <c r="A17" s="39" t="inlineStr">
        <is>
          <t>Notebook fills this section from D4.</t>
        </is>
      </c>
    </row>
    <row r="18" ht="111" customHeight="1">
      <c r="A18" s="11" t="inlineStr">
        <is>
          <t>Overall (test n = 3,000, threshold 0.26): ROC AUC 0.812 · recall 0.744 (FNR 0.256) · precision 0.476 · F1 0.581 · accuracy 0.731 · prevalence 0.250.
By region (FNR / FPR / selection rate): Rural 0.378 / 0.195 / 0.270 (n_pos 111); Suburban 0.245 / 0.309 / 0.427 (n_pos 273); Urban 0.227 / 0.287 / 0.420 (n_pos 366). Rural − Urban FNR gap +15.1 pp.
By insurance (FNR): Medicaid 0.313, Uninsured 0.375, Private 0.240, Medicare 0.208.
Other axes (FNR): sex F 0.246 / M 0.268; age 21-35 0.489, 36-50 0.265, 51-65 0.229, 66+ 0.174 (younger patients are also under-flagged — monitor).
Intersectional (region × insurance, n_pos ≥ 20): most-harmed Rural×Medicaid FNR 0.606 (n_pos 33) vs best Urban×Medicare 0.172 → 43.4 pp gap (KRI-1 Red). Rural×Private 0.231; Urban×Private 0.245. Suppressed for low power (n_pos &lt; 20): Rural×Uninsured (10, FNR 0.50), Rural×Medicare (16), Urban×Uninsured (17).</t>
        </is>
      </c>
      <c r="B18" s="6" t="n"/>
    </row>
    <row r="20" ht="22" customHeight="1">
      <c r="A20" s="8" t="inlineStr">
        <is>
          <t>5. Explainability Summary &amp; Limitations [CODE + HAND]</t>
        </is>
      </c>
    </row>
    <row r="21" ht="22" customHeight="1">
      <c r="A21" s="39" t="inlineStr">
        <is>
          <t>Notebook fills the SHAP findings; you write the limitations narrative.</t>
        </is>
      </c>
    </row>
    <row r="22" ht="156" customHeight="1">
      <c r="A22" s="26" t="inlineStr">
        <is>
          <t>SHAP (TreeExplainer, tree_path_dependent, test set): top global features by mean |SHAP| are glucose 0.806, bmi 0.294, age 0.278, family_history 0.142, pedigree 0.114, blood_pressure 0.110, pregnancies 0.096, insurance_type_Medicaid 0.076 (rank 8). Proxy fingerprint: global signed_strength is &lt; 0.05 for every feature, so the automatic is_likely_proxy rule flags nothing — but conditional SHAP shows insurance_type_Medicaid −0.213, insurance_type_Uninsured −0.252 and region_Rural −0.205 mean log-odds for positive patients in those groups, and these are top-3 negative drivers in every local false-negative explanation for rural Medicaid/uninsured patients. Verdict: proxy_supported (D4).
Limitations: (1) SHAP is associational — it shows what the model uses, not why outcomes differ; the causal story relies on the label-prevalence and counterfactual retraining evidence in D4. (2) Population-mean SHAP hides group-specific effects of one-hot features; proxy screening must be per-group. (3) tree_path_dependent SHAP attributes along correlated paths, so credit between region and insurance_type is not uniquely separable. (4) Subgroup findings rest on n_pos = 33 (≈ ±17 pp CI); cells with n_pos &lt; 20 are unquantified. (5) The Clinician Dashboard shows only a rough top-feature list, not full SHAP — clinicians cannot see that insurance status lowered a score. (6) Explanations do not cover the label bias in training data.</t>
        </is>
      </c>
      <c r="B22" s="6" t="n"/>
    </row>
    <row r="24" ht="22" customHeight="1">
      <c r="A24" s="8" t="inlineStr">
        <is>
          <t>6. Security Considerations &amp; Threats [HAND]</t>
        </is>
      </c>
    </row>
    <row r="25" ht="22" customHeight="1">
      <c r="A25" s="39" t="inlineStr">
        <is>
          <t>Cite specific ATLAS IDs from D3.</t>
        </is>
      </c>
    </row>
    <row r="26" ht="111" customHeight="1">
      <c r="A26" s="26" t="inlineStr">
        <is>
          <t>From D3 (MITRE ATLAS): (1) AML.T0020 Poison Training Data — target Component 4 → Component 5: biased or compromised clinician overrides become retraining labels and deepen the rural/Medicaid miss rate. Mitigation: override quarantine, structured reason codes, per-clinician anomaly detection, retraining gate tied to D4 re-audit; monitored by KRI-2. (2) AML.T0010.003 AI Supply Chain Compromise: Model — target Component 5 → Component 3: a tampered joblib/pickle artifact runs code or ships a backdoored model. Mitigation: Sigstore signing + SHA-256 verification at load (fail-closed), ModelScan in CI, skops serialisation. (3) AML.T0024.000 Infer Training Data Membership — target Component 3: confidence-score probing reveals a patient's inclusion in training data and diabetes status. Mitigation: bucketed scores, per-clinician quotas, query-pattern detection (KRI-3), ML Privacy Meter audit. Other controls in place: mTLS at ingest, 200 req/min rate limit, 7-year inference logging. Not yet tested: penetration test of Dashboard and API, adversarial-input testing.</t>
        </is>
      </c>
      <c r="B26" s="6" t="n"/>
    </row>
    <row r="28" ht="22" customHeight="1">
      <c r="A28" s="8" t="inlineStr">
        <is>
          <t>7. Regulatory Context &amp; Monitoring [HAND]</t>
        </is>
      </c>
    </row>
    <row r="29" ht="22" customHeight="1">
      <c r="A29" s="39" t="inlineStr">
        <is>
          <t>Reference D1 (EU AI Act), D2 (GDPR/CPRA), and the KRIs from D7.</t>
        </is>
      </c>
    </row>
    <row r="30" ht="96" customHeight="1">
      <c r="A30" s="26" t="inlineStr">
        <is>
          <t>EU AI Act (D1): HIGH-RISK — Art. 6(1) + Annex I Section A point 11 (MDR 2017/745, Rule 11), with Art. 6(2) + Annex III point 5(a) as alternative basis; Art. 5 prohibitions do not apply. Not Met: Art. 10 data governance/bias, Art. 11 + Annex IV documentation, Art. 13 transparency, Art. 15 accuracy; Partially Met: Arts. 9, 12, 14, 15(4)-(5). GDPR/CPRA (D2): DPIA outstanding (Art. 35); insurance_type fails minimisation (Art. 5(1)(c), CPRA §1798.100(c)); telemetry needs SCCs/DPF + TIA + Art. 30 RoPA update; 7-year identifiable retention (Art. 5(1)(e)); HIPAA BAA for US data. Monitoring (D7, Art. 72 post-market plan): KRI-1 Subgroup FNR Drift (Green ≤ 8 pp; currently Red 43.4 pp), KRI-2 Override Channel Health (override ≤ 10% and structured ≥ 80%), KRI-3 Inference Anomaly Rate (&lt; 1 per 1,000). A Red KRI triggers the D8 escalation path and, where a patient is harmed, Art. 73 serious-incident reporting.</t>
        </is>
      </c>
      <c r="B30" s="6" t="n"/>
    </row>
  </sheetData>
  <mergeCells count="23">
    <mergeCell ref="A24:B24"/>
    <mergeCell ref="A30:B30"/>
    <mergeCell ref="A1:B1"/>
    <mergeCell ref="A6:B6"/>
    <mergeCell ref="A16:B16"/>
    <mergeCell ref="A25:B25"/>
    <mergeCell ref="A18:B18"/>
    <mergeCell ref="A12:B12"/>
    <mergeCell ref="A26:B26"/>
    <mergeCell ref="A21:B21"/>
    <mergeCell ref="A2:B2"/>
    <mergeCell ref="A5:B5"/>
    <mergeCell ref="A14:B14"/>
    <mergeCell ref="A17:B17"/>
    <mergeCell ref="A8:B8"/>
    <mergeCell ref="A22:B22"/>
    <mergeCell ref="A4:B4"/>
    <mergeCell ref="A20:B20"/>
    <mergeCell ref="A29:B29"/>
    <mergeCell ref="A10:B10"/>
    <mergeCell ref="A28:B28"/>
    <mergeCell ref="A13:B13"/>
    <mergeCell ref="A9:B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 customWidth="1" min="1" max="1"/>
    <col width="22" customWidth="1" min="2" max="2"/>
    <col width="28" customWidth="1" min="3" max="3"/>
    <col width="36" customWidth="1" min="4" max="4"/>
    <col width="18" customWidth="1" min="5" max="5"/>
    <col width="18" customWidth="1" min="6" max="6"/>
    <col width="18" customWidth="1" min="7" max="7"/>
    <col width="22" customWidth="1" min="8" max="8"/>
    <col width="18" customWidth="1" min="9" max="9"/>
  </cols>
  <sheetData>
    <row r="1" ht="32" customHeight="1">
      <c r="A1" s="40" t="inlineStr">
        <is>
          <t>D7 — KRI Dashboard</t>
        </is>
      </c>
    </row>
    <row r="2" ht="42" customHeight="1">
      <c r="A2" s="24" t="inlineStr">
        <is>
          <t>Define 3 KRIs that monitor the highest-priority risks from D5. Define metric, thresholds (Green/Amber/Red), escalation, owner, and connected Risk ID. Status column is populated by lab/kri.py via the audit notebook.</t>
        </is>
      </c>
      <c r="B2" s="5" t="n"/>
      <c r="C2" s="5" t="n"/>
      <c r="D2" s="5" t="n"/>
      <c r="E2" s="5" t="n"/>
      <c r="F2" s="5" t="n"/>
      <c r="G2" s="5" t="n"/>
      <c r="H2" s="5" t="n"/>
      <c r="I2" s="6" t="n"/>
    </row>
    <row r="4" ht="22" customHeight="1">
      <c r="A4" s="8" t="inlineStr">
        <is>
          <t>SECTION A: KRI Definition</t>
        </is>
      </c>
    </row>
    <row r="5" ht="28" customHeight="1">
      <c r="A5" s="41" t="inlineStr">
        <is>
          <t>#</t>
        </is>
      </c>
      <c r="B5" s="41" t="inlineStr">
        <is>
          <t>KRI Name</t>
        </is>
      </c>
      <c r="C5" s="41" t="inlineStr">
        <is>
          <t>Metric Definition</t>
        </is>
      </c>
      <c r="D5" s="41" t="inlineStr">
        <is>
          <t>Calculation Method</t>
        </is>
      </c>
      <c r="E5" s="41" t="inlineStr">
        <is>
          <t>Green</t>
        </is>
      </c>
      <c r="F5" s="41" t="inlineStr">
        <is>
          <t>Amber</t>
        </is>
      </c>
      <c r="G5" s="41" t="inlineStr">
        <is>
          <t>Red</t>
        </is>
      </c>
      <c r="H5" s="41" t="inlineStr">
        <is>
          <t>Owner Role</t>
        </is>
      </c>
      <c r="I5" s="41" t="inlineStr">
        <is>
          <t>Connected Risk ID</t>
        </is>
      </c>
    </row>
    <row r="6" ht="111" customHeight="1">
      <c r="A6" s="11" t="inlineStr">
        <is>
          <t>1</t>
        </is>
      </c>
      <c r="B6" s="26" t="inlineStr">
        <is>
          <t>KRI-1 Subgroup FNR Drift</t>
        </is>
      </c>
      <c r="C6" s="26" t="inlineStr">
        <is>
          <t>Largest gap in false-negative rate between region × insurance_type cells with ≥ 20 confirmed positives (missed-diagnosis disparity).</t>
        </is>
      </c>
      <c r="D6" s="26" t="inlineStr">
        <is>
          <t>Source: prediction DB joined to confirmed diagnoses (HbA1c ≥ 6.5% or ICD-10 E11 within 12 months). Formula: max(FNR) − min(FNR) across qualifying cells, ×100 (pp). lab/kri.py kri_subgroup_fnr_drift. Monthly, rolling 3-month window; also run on every retrain candidate.</t>
        </is>
      </c>
      <c r="E6" s="26" t="inlineStr">
        <is>
          <t>≤ 8 pp</t>
        </is>
      </c>
      <c r="F6" s="26" t="inlineStr">
        <is>
          <t>&gt; 8 pp and ≤ 15 pp</t>
        </is>
      </c>
      <c r="G6" s="26" t="inlineStr">
        <is>
          <t>&gt; 15 pp (or any cell FNR &gt; 40%)</t>
        </is>
      </c>
      <c r="H6" s="26" t="inlineStr">
        <is>
          <t>Head of Clinical Safety (CMO office); escalation to Chief AI Risk Officer</t>
        </is>
      </c>
      <c r="I6" s="26" t="inlineStr">
        <is>
          <t>RR-01, RR-02 (RR-03, RR-04)</t>
        </is>
      </c>
    </row>
    <row r="7" ht="81" customHeight="1">
      <c r="A7" s="11" t="inlineStr">
        <is>
          <t>2</t>
        </is>
      </c>
      <c r="B7" s="26" t="inlineStr">
        <is>
          <t>KRI-2 Override Channel Health</t>
        </is>
      </c>
      <c r="C7" s="26" t="inlineStr">
        <is>
          <t>Share of inferences overridden by clinicians, and share of overrides carrying a structured reason code (integrity of the feedback loop).</t>
        </is>
      </c>
      <c r="D7" s="26" t="inlineStr">
        <is>
          <t>Source: Component 4 override log in Component 6. Formula: overrides ÷ scored inferences; structured-code overrides ÷ all overrides. lab/kri.py kri_override_health. Weekly per hospital; monthly roll-up.</t>
        </is>
      </c>
      <c r="E7" s="26" t="inlineStr">
        <is>
          <t>Override ≤ 10% AND structured ≥ 80%</t>
        </is>
      </c>
      <c r="F7" s="26" t="inlineStr">
        <is>
          <t>Override &gt; 10% to ≤ 15%, OR structured ≥ 60% to &lt; 80%</t>
        </is>
      </c>
      <c r="G7" s="26" t="inlineStr">
        <is>
          <t>Override &gt; 15%, OR structured &lt; 60%</t>
        </is>
      </c>
      <c r="H7" s="26" t="inlineStr">
        <is>
          <t>Clinical Informatics Lead (deployer liaison); ML Ops for quarantine</t>
        </is>
      </c>
      <c r="I7" s="26" t="inlineStr">
        <is>
          <t>RR-10 (RR-01 feedback loop)</t>
        </is>
      </c>
    </row>
    <row r="8" ht="81" customHeight="1">
      <c r="A8" s="11" t="inlineStr">
        <is>
          <t>3</t>
        </is>
      </c>
      <c r="B8" s="26" t="inlineStr">
        <is>
          <t>KRI-3 Inference Anomaly Rate</t>
        </is>
      </c>
      <c r="C8" s="26" t="inlineStr">
        <is>
          <t>Rate of anomalous inference requests: out-of-range/OOD feature vectors, near-duplicate probing sequences, per-client bursts, or artifact-hash mismatch at load.</t>
        </is>
      </c>
      <c r="D8" s="26" t="inlineStr">
        <is>
          <t>Source: Inference API gateway logs + query-pattern detector. Formula: anomalous ÷ total inferences × 1,000. lab/kri.py kri_inference_anomaly. Daily, alert in real time if Red.</t>
        </is>
      </c>
      <c r="E8" s="26" t="inlineStr">
        <is>
          <t>&lt; 1 per 1,000</t>
        </is>
      </c>
      <c r="F8" s="26" t="inlineStr">
        <is>
          <t>1 – 5 per 1,000 (inclusive)</t>
        </is>
      </c>
      <c r="G8" s="26" t="inlineStr">
        <is>
          <t>&gt; 5 per 1,000</t>
        </is>
      </c>
      <c r="H8" s="26" t="inlineStr">
        <is>
          <t>CISO / Security Operations Lead</t>
        </is>
      </c>
      <c r="I8" s="26" t="inlineStr">
        <is>
          <t>RR-12, RR-11</t>
        </is>
      </c>
    </row>
    <row r="9" ht="22" customHeight="1">
      <c r="A9" s="8" t="inlineStr">
        <is>
          <t>SECTION B: Status (populated by audit_notebook.ipynb)</t>
        </is>
      </c>
    </row>
    <row r="10" ht="28" customHeight="1">
      <c r="A10" s="41" t="inlineStr">
        <is>
          <t>#</t>
        </is>
      </c>
      <c r="B10" s="41" t="inlineStr">
        <is>
          <t>KRI ID</t>
        </is>
      </c>
      <c r="C10" s="41" t="inlineStr">
        <is>
          <t>Status</t>
        </is>
      </c>
      <c r="D10" s="41" t="inlineStr">
        <is>
          <t>Current value</t>
        </is>
      </c>
      <c r="E10" s="41" t="inlineStr">
        <is>
          <t>Note</t>
        </is>
      </c>
      <c r="F10" s="41" t="inlineStr"/>
      <c r="G10" s="41" t="inlineStr"/>
      <c r="H10" s="41" t="inlineStr"/>
      <c r="I10" s="41" t="inlineStr"/>
    </row>
    <row r="11" ht="126" customHeight="1">
      <c r="A11" s="11" t="n">
        <v>1</v>
      </c>
      <c r="B11" s="11" t="inlineStr">
        <is>
          <t>KRI-1</t>
        </is>
      </c>
      <c r="C11" s="11" t="inlineStr">
        <is>
          <t>Red</t>
        </is>
      </c>
      <c r="D11" s="11" t="inlineStr">
        <is>
          <t>43.4</t>
        </is>
      </c>
      <c r="E11" s="11" t="inlineStr">
        <is>
          <t>Worst ('Rural', 'Medicaid') FNR=0.606 vs best ('Urban', 'Medicare') FNR=0.172; gap 43.4 pp across 9 cells with n_pos &gt;= 20 (Green &lt;= 8, Amber 8-15, Red &gt; 15).</t>
        </is>
      </c>
    </row>
    <row r="12" ht="51" customHeight="1">
      <c r="A12" s="11" t="n">
        <v>2</v>
      </c>
      <c r="B12" s="11" t="inlineStr">
        <is>
          <t>KRI-2</t>
        </is>
      </c>
      <c r="C12" s="11" t="inlineStr">
        <is>
          <t>Green</t>
        </is>
      </c>
      <c r="D12" s="11" t="inlineStr">
        <is>
          <t>0.06</t>
        </is>
      </c>
      <c r="E12" s="11" t="inlineStr">
        <is>
          <t>override rate 6.0% &lt;= 10% and structured share 85.0% &gt;= 80%</t>
        </is>
      </c>
    </row>
    <row r="13" ht="81" customHeight="1">
      <c r="A13" s="11" t="n">
        <v>3</v>
      </c>
      <c r="B13" s="11" t="inlineStr">
        <is>
          <t>KRI-3</t>
        </is>
      </c>
      <c r="C13" s="11" t="inlineStr">
        <is>
          <t>Green</t>
        </is>
      </c>
      <c r="D13" s="11" t="inlineStr">
        <is>
          <t>0.0</t>
        </is>
      </c>
      <c r="E13" s="11" t="inlineStr">
        <is>
          <t>0 anomalous of 2,000 inferences = 0.00 per 1,000 (Green &lt; 1, Amber 1-5, Red &gt; 5).</t>
        </is>
      </c>
    </row>
    <row r="15" ht="22" customHeight="1">
      <c r="A15" s="8" t="inlineStr">
        <is>
          <t>SECTION C: Per-KRI Rationale [HAND]</t>
        </is>
      </c>
    </row>
    <row r="16" ht="141" customHeight="1">
      <c r="A16" s="26" t="inlineStr">
        <is>
          <t>KRI-1 (Subgroup FNR Drift) — why: false negatives are the dominant clinical harm, and D4 showed the harm concentrates in one intersection (Rural×Medicaid FNR 0.606) that overall recall hides. It detects a recurrence or worsening of the RR-01/RR-02 proxy disparity after launch, from data drift, billing-feed changes or retraining. Current status: RED (43.4 pp) on the audit set — this KRI is the launch gate: Green (≤ 8 pp) is required before go-live. Escalation: Amber → Clinical Safety review within 10 working days and a subgroup caution banner; Red → CAIRO notified within 24 h, the affected subgroup's scores suppressed (kill-switch), Art. 73 assessment if harm is suspected. The 20-positive floor stops a single error in a tiny cell from triggering a false alarm (RR-04).
KRI-2 (Override Channel Health) — why: the override channel is both the Art. 14 human-oversight control and the AML.T0020 poisoning vector (RR-10). A rising override rate means clinicians distrust the model (drift or bias); a falling structured-reason share means overrides cannot be audited before they reach retraining. The AND/OR ladder means either failure alone escalates. Current baseline Green (6% / 85%, synthetic pre-launch figures). Amber → per-site review; Red → freeze override ingestion into the training set and investigate per-clinician outliers.
KRI-3 (Inference Anomaly Rate) — why: membership-inference probing (RR-12) and tampered artifacts (RR-11) show up as abnormal request patterns or hash mismatches before they become a breach. Current baseline Green (0 per 1,000 on 2,000 synthetic inferences). Amber → SOC triage within 4 h; Red → revoke the offending client credentials, DPO notified to evaluate GDPR Art. 33 72-hour notification.</t>
        </is>
      </c>
      <c r="B16" s="5" t="n"/>
      <c r="C16" s="5" t="n"/>
      <c r="D16" s="5" t="n"/>
      <c r="E16" s="5" t="n"/>
      <c r="F16" s="5" t="n"/>
      <c r="G16" s="5" t="n"/>
      <c r="H16" s="5" t="n"/>
      <c r="I16" s="6" t="n"/>
    </row>
  </sheetData>
  <mergeCells count="6">
    <mergeCell ref="A15:I15"/>
    <mergeCell ref="A2:I2"/>
    <mergeCell ref="A1:I1"/>
    <mergeCell ref="A9:I9"/>
    <mergeCell ref="A4:I4"/>
    <mergeCell ref="A16:I1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8" customWidth="1" min="1" max="1"/>
    <col width="90" customWidth="1" min="2" max="2"/>
    <col width="60" customWidth="1" min="3" max="3"/>
    <col width="30" customWidth="1" min="4" max="4"/>
  </cols>
  <sheetData>
    <row r="1" ht="32" customHeight="1">
      <c r="A1" s="42" t="inlineStr">
        <is>
          <t>D8 — Launch Decision &amp; Executive Brief</t>
        </is>
      </c>
    </row>
    <row r="2" ht="22" customHeight="1">
      <c r="A2" s="24" t="inlineStr">
        <is>
          <t>Single document, three sections. Section A must read stand-alone for a non-technical CEO or Board reader.</t>
        </is>
      </c>
      <c r="B2" s="6" t="n"/>
    </row>
    <row r="4" ht="22" customHeight="1">
      <c r="A4" s="8" t="inlineStr">
        <is>
          <t>Decision header</t>
        </is>
      </c>
    </row>
    <row r="5">
      <c r="A5" s="33" t="inlineStr">
        <is>
          <t>Recommendation</t>
        </is>
      </c>
      <c r="B5" s="26" t="inlineStr">
        <is>
          <t>Conditional Go</t>
        </is>
      </c>
    </row>
    <row r="6">
      <c r="A6" s="33" t="inlineStr">
        <is>
          <t>Decision authority</t>
        </is>
      </c>
      <c r="B6" s="11" t="inlineStr">
        <is>
          <t>Chief AI Risk Officer</t>
        </is>
      </c>
    </row>
    <row r="7" ht="30" customHeight="1">
      <c r="A7" s="33" t="inlineStr">
        <is>
          <t>Date</t>
        </is>
      </c>
      <c r="B7" s="26" t="inlineStr">
        <is>
          <t>2027-04-30 (pre-launch AI Review Board meeting; EU go-live not before 2 Aug 2027)</t>
        </is>
      </c>
    </row>
    <row r="9" ht="22" customHeight="1">
      <c r="A9" s="8" t="inlineStr">
        <is>
          <t>SECTION A: Executive Brief (1 page max, plain language)</t>
        </is>
      </c>
    </row>
    <row r="10" ht="330" customHeight="1">
      <c r="A10" s="26" t="inlineStr">
        <is>
          <t>RECOMMENDATION: Conditional Go — HealthGuard may launch in the EU only after the four conditions below are met and verified; the US launch waits for a separate US validation. As configured today it must NOT go live.
TOP 3 RESIDUAL RISKS
(1) Missed diagnoses for one patient group. For rural patients on Medicaid, the tool misses about 6 in 10 people who actually develop diabetes, versus about 2.5 in 10 for urban patients with private insurance. The cause is that it has learned to treat insurance status and rural location as signs of low risk, because those patients were historically diagnosed less often. We have shown that removing those two inputs closes most of the gap at almost no cost to overall accuracy.
(2) Not yet legally ready for the EU. The EU AI Act treats this as a high-risk system. We do not yet have the required technical file, user instructions, privacy impact assessment or CE marking, and the rules apply on the planned launch date.
(3) The learning loop can be corrupted. Doctors' disagreements with the score are fed back into future versions without checks, so bad or biased feedback, or an attacker, could quietly make the tool worse. The model file itself is also not tamper-proofed.
WHAT HAPPENS IF WE SHIP AS-IS
Patients in an identifiable, already under-served group would be harmed at a rate well above standard of care. That breaches the Board's low appetite for patient-safety, regulatory and reputational risk. Likely outcomes: a reportable serious incident, regulator action (EU AI Act fines of up to €15M or 3% of global turnover; GDPR up to 4%), withdrawal from hospitals and press coverage ahead of the Series D. Fixing it first costs roughly 30 days and changes little else.
ASKS OF LEADERSHIP
• CEO: approve a 30-day remediation sprint (~€250k: ML retraining, external validation, regulatory counsel).
• CMO: own the clinical fixes (Conditions 1 and 2).
• DPO / CCO: own the privacy and EU AI Act paperwork (Conditions 3 and 4).
• Board: accept that the US launch moves from Q4 2027 until US-population validation is done.</t>
        </is>
      </c>
      <c r="B10" s="6" t="n"/>
    </row>
    <row r="12" ht="22" customHeight="1">
      <c r="A12" s="8" t="inlineStr">
        <is>
          <t>SECTION B: Detailed Justification (governance audience)</t>
        </is>
      </c>
    </row>
    <row r="13" ht="409" customHeight="1">
      <c r="A13" s="26" t="inlineStr">
        <is>
          <t>EVIDENCE SUMMARY
• D1 EU AI Act: high-risk under Art. 6(1) + Annex I §A pt 11 (MDR Rule 11), alt. Art. 6(2) + Annex III 5(a); Not Met on Art. 10 (bias examination), Art. 11/Annex IV, Art. 13 IFU and Art. 15 accuracy. Art. 6(1) obligations apply 2 Aug 2027 = launch window.
• D2 GDPR/CPRA: no Art. 35 DPIA; insurance_type fails Art. 5(1)(c) / CPRA §1798.100(c); telemetry lacks SCCs/DPF, TIA and an Art. 30 RoPA entry; 7-year identifiable retention.
• D3 ATLAS: AML.T0020 override poisoning (M-H/H), AML.T0010.003 unsigned pickle artifact (M/H), AML.T0024.000 membership inference (L-M/H).
• D4 Technical Audit: AUC 0.812, recall 0.744; Rural FNR 0.378 vs Urban 0.227 (+15.1 pp); most-harmed Rural×Medicaid FNR 0.606 (n_pos 33); within-Rural Medicaid−Private +37.5 pp vs Urban −5.2 pp → proxy_supported; counterfactual without insurance_type + region gives Rural 0.270 / Urban 0.265 at AUC 0.806, but a 17.1 pp label-bias residual remains.
• D5 Risk Register: 12 risks; Top-N RR-01 (25), RR-02 (20), RR-08 (20), RR-05 (16), RR-10 (15).
• D6 Model Card: global SHAP hides the proxy (signed_strength &lt; 0.05); conditional SHAP −0.21 to −0.25 log-odds for Medicaid/Uninsured/Rural positives.
• D7 KRIs: KRI-1 RED 43.4 pp; KRI-2 and KRI-3 Green on synthetic baselines.
RESIDUAL RISK VS RISK APPETITE (A1 §7)
Patient safety (LOW appetite): as configured, BREACHED — Rural×Medicaid miss rate 2.5× the urban-private rate is 'materially worse than standard of care for an identifiable subgroup'. With C1 met (KRI-1 ≤ 8 pp): within appetite. Regulatory (LOW; partial compliance allowed only with a remediation plan + approved compensating control): Art. 10/11/13/15 'Not Met' items are knowingly non-compliant → BREACHED today; C3 + C4 convert them to Met, or Partially Met with an approved plan. Reputational (LOW): a regulator-reportable bias incident is foreseeable without C1/C2. Operational (MODERATE) and Financial (MODERATE): the 30-day delay and ~€250k sit within appetite.
CONDITIONS (Condition | Measurable threshold | Owner | Timeline) — C1–C4 must all be met before EU go-live; any unmet at the deadline reverts the decision to No Go. Full table below Section C.
C1 Fairness remediation (drop insurance_type + region, label reweighing) | KRI-1 ≤ 8 pp on held-out + external set; no cell FNR &gt; 35%; recall ≥ 0.74 | CMO (Head of ML delivers) | 30 days
C2 Clinician transparency &amp; oversight (Art. 13 IFU, caution banner, structured overrides, quarantine) | 100% pilot clinicians trained; structured share ≥ 80% and override ≤ 10% (KRI-2 Green) | CMO | 30 days
C3 Privacy (DPIA, SCCs + TIA, RoPA, pseudonymisation, BAA) | all five executed and signed by DPO | DPO | 30 days
C4 EU AI Act conformity &amp; security (Annex IV, MDR opinion, artifact signing, privacy audit) | Annex IV complete; 0 unsigned artifacts; membership-attack AUC ≤ 0.55 | CCO (CISO for security) | 60 days
C5 US launch gate | US validation ≥ 3,000 records meets C1 thresholds | Head of ML | before Q4 2027
POST-LAUNCH GOVERNANCE
KRI-1 monthly (3-month rolling); KRI-2 weekly per site; KRI-3 daily with real-time Red alerts; quarterly AI Review Board KRI pack. Risk register reviewed quarterly and on any Red KRI. Model card and Annex IV file refreshed on every retrain, threshold change, new deployment region, or KRI Red. Full D4 re-audit before any retrained model is promoted. Art. 72 post-market monitoring plan; Art. 73 serious-incident workflow (see appendix below).</t>
        </is>
      </c>
      <c r="B13" s="6" t="n"/>
    </row>
    <row r="15" ht="22" customHeight="1">
      <c r="A15" s="8" t="inlineStr">
        <is>
          <t>SECTION C: RACI Sign-Off</t>
        </is>
      </c>
    </row>
    <row r="16" ht="28" customHeight="1">
      <c r="A16" s="43" t="inlineStr">
        <is>
          <t>Role</t>
        </is>
      </c>
      <c r="B16" s="43" t="inlineStr">
        <is>
          <t>Name / Title</t>
        </is>
      </c>
      <c r="C16" s="43" t="inlineStr">
        <is>
          <t>Responsibility / status</t>
        </is>
      </c>
    </row>
    <row r="17">
      <c r="A17" s="33" t="inlineStr">
        <is>
          <t>Decision authority</t>
        </is>
      </c>
      <c r="B17" s="11" t="inlineStr">
        <is>
          <t>Chief AI Risk Officer</t>
        </is>
      </c>
      <c r="C17" s="45" t="inlineStr">
        <is>
          <t>Sign-off: approve Conditional Go subject to C1–C5 (date of signature)</t>
        </is>
      </c>
    </row>
    <row r="18">
      <c r="A18" s="33" t="inlineStr">
        <is>
          <t>Required sign-off</t>
        </is>
      </c>
      <c r="B18" s="11" t="inlineStr">
        <is>
          <t>AI Review Board chair</t>
        </is>
      </c>
      <c r="C18" s="45" t="inlineStr">
        <is>
          <t>Sign-off required before go-live; verifies C1–C5 evidence</t>
        </is>
      </c>
    </row>
    <row r="19">
      <c r="A19" s="33" t="inlineStr">
        <is>
          <t>Required sign-off</t>
        </is>
      </c>
      <c r="B19" s="11" t="inlineStr">
        <is>
          <t>Chief Compliance Officer</t>
        </is>
      </c>
      <c r="C19" s="45" t="inlineStr">
        <is>
          <t>Sign-off required; owns C4 (EU AI Act conformity); co-signs C3</t>
        </is>
      </c>
    </row>
    <row r="20">
      <c r="A20" s="33" t="inlineStr">
        <is>
          <t>Informed</t>
        </is>
      </c>
      <c r="B20" s="11" t="inlineStr">
        <is>
          <t>Chief Medical Officer (implementation owner: Conditions 1 and 2)</t>
        </is>
      </c>
      <c r="C20" s="45" t="inlineStr">
        <is>
          <t>Informed; Accountable for delivery of C1 and C2</t>
        </is>
      </c>
    </row>
    <row r="21">
      <c r="A21" s="33" t="inlineStr">
        <is>
          <t>Informed</t>
        </is>
      </c>
      <c r="B21" s="11" t="inlineStr">
        <is>
          <t>Chief Executive Officer (funding for 30-day remediation)</t>
        </is>
      </c>
      <c r="C21" s="45" t="inlineStr">
        <is>
          <t>Informed; approves remediation budget and US timeline change</t>
        </is>
      </c>
    </row>
    <row r="22">
      <c r="A22" s="33" t="inlineStr">
        <is>
          <t>Informed</t>
        </is>
      </c>
      <c r="B22" s="11" t="inlineStr">
        <is>
          <t>Data Protection Officer (implementation owner: Condition 3)</t>
        </is>
      </c>
      <c r="C22" s="45" t="inlineStr">
        <is>
          <t>Informed; Accountable for delivery of C3</t>
        </is>
      </c>
    </row>
    <row r="24">
      <c r="A24" s="46" t="inlineStr">
        <is>
          <t>CONDITIONS TABLE (Conditional Go)</t>
        </is>
      </c>
    </row>
    <row r="25">
      <c r="A25" s="47" t="inlineStr">
        <is>
          <t>Condition</t>
        </is>
      </c>
      <c r="B25" s="47" t="inlineStr">
        <is>
          <t>Measurable threshold</t>
        </is>
      </c>
      <c r="C25" s="47" t="inlineStr">
        <is>
          <t>Owner</t>
        </is>
      </c>
      <c r="D25" s="47" t="inlineStr">
        <is>
          <t>Timeline</t>
        </is>
      </c>
    </row>
    <row r="26" ht="66" customHeight="1">
      <c r="A26" s="11" t="inlineStr">
        <is>
          <t>C1 Fairness remediation: retrain without insurance_type and region + label-bias reweighing; external validation on a held-out EU site</t>
        </is>
      </c>
      <c r="B26" s="11" t="inlineStr">
        <is>
          <t>KRI-1 ≤ 8 pp (n_pos ≥ 20 cells) on held-out AND external set; no qualifying cell FNR &gt; 35%; overall recall ≥ 0.74; AUC ≥ 0.80</t>
        </is>
      </c>
      <c r="C26" s="11" t="inlineStr">
        <is>
          <t>CMO (delivery: Head of ML)</t>
        </is>
      </c>
      <c r="D26" s="11" t="inlineStr">
        <is>
          <t>30 days — before EU go-live</t>
        </is>
      </c>
    </row>
    <row r="27" ht="81" customHeight="1">
      <c r="A27" s="11" t="inlineStr">
        <is>
          <t>C2 Clinician transparency &amp; oversight: Art. 13 IFU with subgroup performance; Dashboard caution banner; structured override reason codes; override quarantine before retraining</t>
        </is>
      </c>
      <c r="B27" s="11" t="inlineStr">
        <is>
          <t>IFU approved by CCO; 100% of pilot clinicians trained; structured-reason share ≥ 80% and override rate ≤ 10% in 2-week pilot (KRI-2 Green); 0 unreviewed overrides in training set</t>
        </is>
      </c>
      <c r="C27" s="11" t="inlineStr">
        <is>
          <t>CMO</t>
        </is>
      </c>
      <c r="D27" s="11" t="inlineStr">
        <is>
          <t>30 days — before EU go-live</t>
        </is>
      </c>
    </row>
    <row r="28" ht="36" customHeight="1">
      <c r="A28" s="11" t="inlineStr">
        <is>
          <t>C3 Privacy compliance: DPIA, transfer mechanism, RoPA, retention</t>
        </is>
      </c>
      <c r="B28" s="11" t="inlineStr">
        <is>
          <t>Art. 35 DPIA signed by DPO; intra-group SCCs (or DPF certification) + TIA executed; Art. 30 RoPA updated; patient-ID pseudonymisation after 12 months configured; HIPAA BAA amended</t>
        </is>
      </c>
      <c r="C28" s="11" t="inlineStr">
        <is>
          <t>DPO</t>
        </is>
      </c>
      <c r="D28" s="11" t="inlineStr">
        <is>
          <t>30 days — before EU go-live</t>
        </is>
      </c>
    </row>
    <row r="29" ht="36" customHeight="1">
      <c r="A29" s="11" t="inlineStr">
        <is>
          <t>C4 EU AI Act conformity &amp; security hardening</t>
        </is>
      </c>
      <c r="B29" s="11" t="inlineStr">
        <is>
          <t>Annex IV file complete; written MDR qualification opinion; 0 unsigned artifacts (Sigstore + hash check enforced at load); ML Privacy Meter membership-attack AUC ≤ 0.55</t>
        </is>
      </c>
      <c r="C29" s="11" t="inlineStr">
        <is>
          <t>CCO (security items: CISO)</t>
        </is>
      </c>
      <c r="D29" s="11" t="inlineStr">
        <is>
          <t>60 days — before notified-body submission / CE marking</t>
        </is>
      </c>
    </row>
    <row r="30" ht="36" customHeight="1">
      <c r="A30" s="11" t="inlineStr">
        <is>
          <t>C5 US launch gate: US-representative validation (CA, MA, TX)</t>
        </is>
      </c>
      <c r="B30" s="11" t="inlineStr">
        <is>
          <t>≥ 3,000 US records; C1 thresholds met on US data; HIPAA risk analysis (45 CFR §164.308) updated</t>
        </is>
      </c>
      <c r="C30" s="11" t="inlineStr">
        <is>
          <t>Head of ML</t>
        </is>
      </c>
      <c r="D30" s="11" t="inlineStr">
        <is>
          <t>Before Q4 2027 US go-live</t>
        </is>
      </c>
    </row>
    <row r="32" ht="141" customHeight="1">
      <c r="A32" s="45" t="inlineStr">
        <is>
          <t>APPENDIX — EU AI Act Art. 73 serious-incident reporting workflow
Trigger: any incident or malfunction leading to (a) death or serious harm to health — e.g., a confirmed missed/delayed diabetes diagnosis linked to a HealthGuard false negative, (b) serious, irreversible disruption of critical infrastructure, (c) breach of fundamental-rights obligations (e.g., a confirmed systematic subgroup disparity: KRI-1 Red for 2 consecutive months), or (d) serious harm to property or the environment (Art. 3(49)).
Detect: KRI Red alert, a clinician/hospital deployer report (Art. 26(5)), or a patient complaint → Clinical Safety logs the case within 24 h.
Assess: CAIRO + CMO + CCO triage within 48 h — establish the causal link or reasonable likelihood of one.
Notify: market-surveillance authority of the Member State where it occurred — immediately once the link is established and no later than 15 days after awareness (Art. 73(2)); 10 days if a death (Art. 73(4)); 2 days for widespread infringement or critical-infrastructure disruption (Art. 73(3)). Parallel: MDR Art. 87 vigilance report if qualified as a device; GDPR Art. 33 within 72 h if personal data is involved; notify affected deployer hospitals within 24 h.
Contain &amp; investigate: per-site kill-switch or subgroup score suppression; root-cause analysis; no alteration of the system that would affect later evaluation before informing the authority (Art. 73(6)).
Close: corrective action, model card / Annex IV update, risk register update, AI Review Board report.</t>
        </is>
      </c>
    </row>
  </sheetData>
  <mergeCells count="10">
    <mergeCell ref="A4:B4"/>
    <mergeCell ref="A2:B2"/>
    <mergeCell ref="A15:B15"/>
    <mergeCell ref="A10:B10"/>
    <mergeCell ref="A13:B13"/>
    <mergeCell ref="A24:D24"/>
    <mergeCell ref="A1:B1"/>
    <mergeCell ref="A9:B9"/>
    <mergeCell ref="A32:D32"/>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2026-04-30T14:28:54Z</dcterms:created>
  <dcterms:modified xsi:type="dcterms:W3CDTF">2026-10-28T05:01:48Z</dcterms:modified>
</cp:coreProperties>
</file>